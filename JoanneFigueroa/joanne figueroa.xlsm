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yectos\Mariano\JoanneFigueroa\"/>
    </mc:Choice>
  </mc:AlternateContent>
  <xr:revisionPtr revIDLastSave="0" documentId="13_ncr:1_{0D5E8777-83D4-431C-8DC6-8E4C6F80800D}" xr6:coauthVersionLast="46" xr6:coauthVersionMax="46" xr10:uidLastSave="{00000000-0000-0000-0000-000000000000}"/>
  <bookViews>
    <workbookView xWindow="825" yWindow="330" windowWidth="17760" windowHeight="10095" activeTab="1" xr2:uid="{F14D0CD3-AA08-450C-B071-EDCA7B92985B}"/>
  </bookViews>
  <sheets>
    <sheet name="pLanilla" sheetId="1" r:id="rId1"/>
    <sheet name="cOnteo" sheetId="7" r:id="rId2"/>
    <sheet name="referencias" sheetId="2" r:id="rId3"/>
    <sheet name="preguntas" sheetId="5" r:id="rId4"/>
  </sheets>
  <functionGroups builtInGroupCount="19"/>
  <definedNames>
    <definedName name="_xlnm._FilterDatabase" localSheetId="0" hidden="1">pLanilla!$A$1:$A$9</definedName>
    <definedName name="_xlnm._FilterDatabase" localSheetId="2" hidden="1">referencias!$B$1:$B$63</definedName>
    <definedName name="alta">pLanilla!$O:$O</definedName>
    <definedName name="areaClinica">pLanilla!$E:$E</definedName>
    <definedName name="cama">pLanilla!$F:$F</definedName>
    <definedName name="descripcion">pLanilla!$L:$L</definedName>
    <definedName name="dxAdmision">pLanilla!$G:$G</definedName>
    <definedName name="edad">pLanilla!$C:$C</definedName>
    <definedName name="_xlnm.Extract" localSheetId="2">referencias!#REF!</definedName>
    <definedName name="fecAdmision">pLanilla!$A:$A</definedName>
    <definedName name="fecAlta">pLanilla!$O:$O</definedName>
    <definedName name="medico">pLanilla!$H:$H</definedName>
    <definedName name="nombres">pLanilla!$B:$B</definedName>
    <definedName name="numRecord">pLanilla!#REF!</definedName>
    <definedName name="numRecord1">pLanilla!#REF!</definedName>
    <definedName name="problema1">pLanilla!$I:$I</definedName>
    <definedName name="problema2">pLanilla!$J:$J</definedName>
    <definedName name="problema3">pLanilla!$K:$K</definedName>
    <definedName name="record">pLanilla!$D:$D</definedName>
    <definedName name="refAreaClinica">referencias!$A:$A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3" i="7" l="1"/>
  <c r="C54" i="7"/>
  <c r="C7" i="7" s="1"/>
  <c r="C9" i="7" s="1"/>
  <c r="C57" i="7" s="1"/>
  <c r="C66" i="7" s="1"/>
  <c r="C72" i="7"/>
  <c r="I72" i="7"/>
  <c r="J42" i="7"/>
  <c r="J53" i="7"/>
  <c r="I7" i="7" s="1"/>
  <c r="J8" i="7" s="1"/>
  <c r="I57" i="7" s="1"/>
  <c r="I66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. javimac .</author>
  </authors>
  <commentList>
    <comment ref="C1" authorId="0" shapeId="0" xr:uid="{BC54E91C-9463-40BE-A761-BBDC582493F4}">
      <text>
        <r>
          <rPr>
            <b/>
            <sz val="9"/>
            <color indexed="81"/>
            <rFont val="Tahoma"/>
            <charset val="1"/>
          </rPr>
          <t>. javimac .:</t>
        </r>
        <r>
          <rPr>
            <sz val="9"/>
            <color indexed="81"/>
            <rFont val="Tahoma"/>
            <charset val="1"/>
          </rPr>
          <t xml:space="preserve">
filtro valores únicos de Area (se genera manual con filtro avanzado)</t>
        </r>
      </text>
    </comment>
    <comment ref="D1" authorId="0" shapeId="0" xr:uid="{BB3612DB-146D-4F58-BBA0-AE5C2A23CF63}">
      <text>
        <r>
          <rPr>
            <b/>
            <sz val="9"/>
            <color indexed="81"/>
            <rFont val="Tahoma"/>
            <charset val="1"/>
          </rPr>
          <t>. javimac .:</t>
        </r>
        <r>
          <rPr>
            <sz val="9"/>
            <color indexed="81"/>
            <rFont val="Tahoma"/>
            <charset val="1"/>
          </rPr>
          <t xml:space="preserve">
Si agrega una lesión en esta lista, debe agregar dos campos en el reporte "III clasificación de las lesiones" </t>
        </r>
      </text>
    </comment>
  </commentList>
</comments>
</file>

<file path=xl/sharedStrings.xml><?xml version="1.0" encoding="utf-8"?>
<sst xmlns="http://schemas.openxmlformats.org/spreadsheetml/2006/main" count="418" uniqueCount="172">
  <si>
    <t>cama</t>
  </si>
  <si>
    <t>IRA</t>
  </si>
  <si>
    <t>DTI</t>
  </si>
  <si>
    <t>Cirugía</t>
  </si>
  <si>
    <t>Medicina</t>
  </si>
  <si>
    <t>Sala de ER</t>
  </si>
  <si>
    <t>Pediatría</t>
  </si>
  <si>
    <t>Daño profundo al tejido</t>
  </si>
  <si>
    <t>No clasificado</t>
  </si>
  <si>
    <t>Skin tears (desprendimiento de piel)</t>
  </si>
  <si>
    <t>Ulcera Arterial</t>
  </si>
  <si>
    <t>Ulcera Diabetica</t>
  </si>
  <si>
    <t>Ulcera Venosa</t>
  </si>
  <si>
    <t>Quemaduras 1er grado</t>
  </si>
  <si>
    <t>Quirurgicas</t>
  </si>
  <si>
    <t>Drenaje (abcesos)</t>
  </si>
  <si>
    <t>Debridamiento</t>
  </si>
  <si>
    <t>Abceso</t>
  </si>
  <si>
    <t>Infiltrado</t>
  </si>
  <si>
    <t>Herida Cerrada</t>
  </si>
  <si>
    <t>Gangrena</t>
  </si>
  <si>
    <t>Herida Abierta</t>
  </si>
  <si>
    <t>Trauma (mordedura)</t>
  </si>
  <si>
    <t>Trauma (autoinfligido)</t>
  </si>
  <si>
    <t>Celulitis</t>
  </si>
  <si>
    <t>Lesion Maligna (Ca)</t>
  </si>
  <si>
    <t>fecAdmision</t>
  </si>
  <si>
    <t>nombres</t>
  </si>
  <si>
    <t>edad</t>
  </si>
  <si>
    <t>areaClinica</t>
  </si>
  <si>
    <t>nomMedico</t>
  </si>
  <si>
    <t>problema1</t>
  </si>
  <si>
    <t>problema2</t>
  </si>
  <si>
    <t>problema3</t>
  </si>
  <si>
    <t>descripcion</t>
  </si>
  <si>
    <t>fecAlta</t>
  </si>
  <si>
    <t>numRecord</t>
  </si>
  <si>
    <t>dxAdmision</t>
  </si>
  <si>
    <t>carlos javier macias diaz</t>
  </si>
  <si>
    <t>s56</t>
  </si>
  <si>
    <t>Mariano Ugarriza</t>
  </si>
  <si>
    <t>Hola amiguitos</t>
  </si>
  <si>
    <t>fulanito de tal</t>
  </si>
  <si>
    <t>sdfasfas</t>
  </si>
  <si>
    <t>Dr No</t>
  </si>
  <si>
    <t>Entrada de prueba 2</t>
  </si>
  <si>
    <t>Mily Macías</t>
  </si>
  <si>
    <t>sas</t>
  </si>
  <si>
    <t>Dr Si</t>
  </si>
  <si>
    <t>Es una niña linda</t>
  </si>
  <si>
    <t>2b</t>
  </si>
  <si>
    <t>r2</t>
  </si>
  <si>
    <t>dx2</t>
  </si>
  <si>
    <t>m2</t>
  </si>
  <si>
    <t>descripcion 2</t>
  </si>
  <si>
    <t>Quemaduras 2do grado</t>
  </si>
  <si>
    <t>area</t>
  </si>
  <si>
    <t>1.  Existen las siguientes áreas clínicas</t>
  </si>
  <si>
    <t>Cirugia</t>
  </si>
  <si>
    <t>Intermed.</t>
  </si>
  <si>
    <t>ICU</t>
  </si>
  <si>
    <t>ER</t>
  </si>
  <si>
    <t>Pediatria</t>
  </si>
  <si>
    <t xml:space="preserve">Pero la lista de camas no las incluye a todas, es decir, que escogiendo la cama en el form no va hacer que aparezcan todas las áreas.  </t>
  </si>
  <si>
    <t>¿Todas las áreas tienen cama?</t>
  </si>
  <si>
    <t>Porque en al form el área aparece después de escoger la cama, si hay áreas sin cama, no van a aparecer en el form</t>
  </si>
  <si>
    <t>tocaría escoger cama, y luego escoger área</t>
  </si>
  <si>
    <t>INFORME CUIDADO DE PIEL</t>
  </si>
  <si>
    <r>
      <rPr>
        <b/>
        <sz val="14"/>
        <color theme="1"/>
        <rFont val="Calibri"/>
        <family val="2"/>
        <scheme val="minor"/>
      </rPr>
      <t>ENFERMERA:</t>
    </r>
    <r>
      <rPr>
        <sz val="14"/>
        <color theme="1"/>
        <rFont val="Calibri"/>
        <family val="2"/>
        <scheme val="minor"/>
      </rPr>
      <t xml:space="preserve"> Joanne Figueroa B. RN, BSN, CWSCN</t>
    </r>
  </si>
  <si>
    <t>Fecha:</t>
  </si>
  <si>
    <t>V</t>
  </si>
  <si>
    <t>No. pctes nuevos evaluados por area clinica</t>
  </si>
  <si>
    <t>OK</t>
  </si>
  <si>
    <t>programa</t>
  </si>
  <si>
    <t>I</t>
  </si>
  <si>
    <t>Evaluacion de pacientes</t>
  </si>
  <si>
    <t>Admisiones</t>
  </si>
  <si>
    <t>sale del V</t>
  </si>
  <si>
    <t>Seguimiento</t>
  </si>
  <si>
    <t>Total de prevenciones</t>
  </si>
  <si>
    <t>manual</t>
  </si>
  <si>
    <t>Total cuidado a pacientes Ostomia</t>
  </si>
  <si>
    <t>Paciente post Qcos</t>
  </si>
  <si>
    <t>Infectados: admitidos</t>
  </si>
  <si>
    <t>II</t>
  </si>
  <si>
    <t>Lesiones de piel adquiridas</t>
  </si>
  <si>
    <t>III</t>
  </si>
  <si>
    <t>Clasificacion de las lesiones</t>
  </si>
  <si>
    <t>Estadios de presion:</t>
  </si>
  <si>
    <t>Skin tears</t>
  </si>
  <si>
    <t>Ulceras</t>
  </si>
  <si>
    <t>Arterial</t>
  </si>
  <si>
    <t>Venosa</t>
  </si>
  <si>
    <t>Diabetica</t>
  </si>
  <si>
    <t>Drenage (absceso)</t>
  </si>
  <si>
    <t>Absceso</t>
  </si>
  <si>
    <t>Herida cerrada</t>
  </si>
  <si>
    <t>Herida abierta</t>
  </si>
  <si>
    <t>Trauma (auto inflingido)</t>
  </si>
  <si>
    <t>IV</t>
  </si>
  <si>
    <t>Readmisiones prog. Cuidado de piel</t>
  </si>
  <si>
    <t>VI</t>
  </si>
  <si>
    <t>No. total de pacientes intervenidos programa cuidado de piel:</t>
  </si>
  <si>
    <t>Mes: Septiembre</t>
  </si>
  <si>
    <t>VII</t>
  </si>
  <si>
    <t>No. pctes con maquina de presion negativa:</t>
  </si>
  <si>
    <t>VIII</t>
  </si>
  <si>
    <t>Otras actividades</t>
  </si>
  <si>
    <t>Orientac.</t>
  </si>
  <si>
    <t>Indicador evaluado %</t>
  </si>
  <si>
    <t>IX</t>
  </si>
  <si>
    <t>No. pctes en censo proximo mes:</t>
  </si>
  <si>
    <t>Octubre</t>
  </si>
  <si>
    <t>De alta</t>
  </si>
  <si>
    <t>cuenta vacíos en altas</t>
  </si>
  <si>
    <t>X</t>
  </si>
  <si>
    <t>Pctes Tto. BiPAP</t>
  </si>
  <si>
    <t>ponerlo en la planilla</t>
  </si>
  <si>
    <t>Desarrollaron estadio</t>
  </si>
  <si>
    <t>Porcentaje</t>
  </si>
  <si>
    <t>FIRMA</t>
  </si>
  <si>
    <t>FECHA</t>
  </si>
  <si>
    <t>Enfermera Joanne Figueroa B. RN, BSN, CWSCN</t>
  </si>
  <si>
    <t>Noviembre 13 de 2021</t>
  </si>
  <si>
    <t>V.  Pacientes nuevos evaluados por área clínica</t>
  </si>
  <si>
    <t>I.  Total evaluación de pacientes</t>
  </si>
  <si>
    <t>II. Total lesiones de piel adquiridas</t>
  </si>
  <si>
    <t>III.  Clasificación de las lesiones</t>
  </si>
  <si>
    <t>IV. Readmisiones progamadas cuidado de piel</t>
  </si>
  <si>
    <t>VI.  Pacientes intervenidos programa cuidado de piel</t>
  </si>
  <si>
    <t>Septiembre</t>
  </si>
  <si>
    <t>VII.  Pacientes con máquina de presión negativa</t>
  </si>
  <si>
    <t>VIII.  Otras actividades</t>
  </si>
  <si>
    <t>Orientación</t>
  </si>
  <si>
    <t>IX.  Pacientes en censo próximo mes</t>
  </si>
  <si>
    <t>de alta</t>
  </si>
  <si>
    <t>octubre</t>
  </si>
  <si>
    <t>X.  Pacientes tratamiento BiPAP</t>
  </si>
  <si>
    <t>Desarrollaron estadío</t>
  </si>
  <si>
    <t>Admisiones + Seguimiento</t>
  </si>
  <si>
    <t>Pacientes tratamiento BiPAP</t>
  </si>
  <si>
    <t>Total</t>
  </si>
  <si>
    <t>programa / ponerlo en la planilla de ingreso</t>
  </si>
  <si>
    <t>SI</t>
  </si>
  <si>
    <t>NO</t>
  </si>
  <si>
    <t xml:space="preserve">2.  En la planilla se creó la columna MPN (Máquina de presión negativa) </t>
  </si>
  <si>
    <t>¿Qué se debe registrar?  SI / NO  ¿?</t>
  </si>
  <si>
    <t>MPN</t>
  </si>
  <si>
    <t>BIPAP</t>
  </si>
  <si>
    <t>Intermedios</t>
  </si>
  <si>
    <t>Estadio de presion 1</t>
  </si>
  <si>
    <t>Estadio de presion 2</t>
  </si>
  <si>
    <t>Estadio de presion 3</t>
  </si>
  <si>
    <t>Estadio de presion 4</t>
  </si>
  <si>
    <t>Quirúrgicas</t>
  </si>
  <si>
    <t>lesion</t>
  </si>
  <si>
    <t>manual.  Total sale del III</t>
  </si>
  <si>
    <t>nom14</t>
  </si>
  <si>
    <t>e14</t>
  </si>
  <si>
    <t>rec14</t>
  </si>
  <si>
    <t>dx14</t>
  </si>
  <si>
    <t>med14</t>
  </si>
  <si>
    <t>desc14</t>
  </si>
  <si>
    <t>nom14a</t>
  </si>
  <si>
    <t>e14a</t>
  </si>
  <si>
    <t>rec14a</t>
  </si>
  <si>
    <t>dx14a</t>
  </si>
  <si>
    <t>med14a</t>
  </si>
  <si>
    <t>desc14a</t>
  </si>
  <si>
    <t>nom14b</t>
  </si>
  <si>
    <t>Ya se incluyó en planilla y en form como MPN</t>
  </si>
  <si>
    <t>Ya se incluyó en planilla y en 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</si>
</sst>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&quot; de &quot;mmmm&quot; de &quot;yyyy"/>
    <numFmt numFmtId="165" formatCode="m/d/yy;@"/>
    <numFmt numFmtId="166" formatCode="0.0%"/>
    <numFmt numFmtId="167" formatCode="[$-80A]d&quot; de &quot;mmmm&quot; de &quot;yyyy;@"/>
  </numFmts>
  <fonts count="1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medium">
        <color auto="1"/>
      </right>
      <top style="hair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1" fillId="0" borderId="0"/>
    <xf numFmtId="9" fontId="3" fillId="0" borderId="0" applyFont="0" applyFill="0" applyBorder="0" applyAlignment="0" applyProtection="0"/>
  </cellStyleXfs>
  <cellXfs count="122">
    <xf numFmtId="0" fontId="0" fillId="0" borderId="0" xfId="0"/>
    <xf numFmtId="0" fontId="0" fillId="0" borderId="1" xfId="0" applyFont="1" applyBorder="1" applyAlignment="1">
      <alignment horizontal="center"/>
    </xf>
    <xf numFmtId="0" fontId="0" fillId="0" borderId="0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16" fontId="0" fillId="0" borderId="0" xfId="0" applyNumberFormat="1" applyFont="1" applyBorder="1" applyAlignment="1" applyProtection="1">
      <alignment horizontal="center"/>
      <protection locked="0"/>
    </xf>
    <xf numFmtId="9" fontId="0" fillId="0" borderId="0" xfId="0" applyNumberFormat="1" applyProtection="1">
      <protection locked="0"/>
    </xf>
    <xf numFmtId="0" fontId="2" fillId="3" borderId="0" xfId="0" applyFont="1" applyFill="1" applyAlignment="1" applyProtection="1">
      <alignment horizontal="center" vertical="center" wrapText="1"/>
    </xf>
    <xf numFmtId="0" fontId="0" fillId="0" borderId="0" xfId="0" applyAlignment="1" applyProtection="1">
      <alignment horizontal="center"/>
    </xf>
    <xf numFmtId="0" fontId="2" fillId="2" borderId="0" xfId="0" applyFont="1" applyFill="1" applyAlignment="1" applyProtection="1">
      <alignment horizontal="center" vertical="center"/>
    </xf>
    <xf numFmtId="0" fontId="0" fillId="0" borderId="2" xfId="0" applyBorder="1"/>
    <xf numFmtId="0" fontId="0" fillId="0" borderId="3" xfId="0" applyBorder="1"/>
    <xf numFmtId="0" fontId="1" fillId="0" borderId="0" xfId="1"/>
    <xf numFmtId="0" fontId="7" fillId="0" borderId="0" xfId="1" applyFont="1" applyAlignment="1">
      <alignment horizontal="right"/>
    </xf>
    <xf numFmtId="165" fontId="1" fillId="0" borderId="0" xfId="1" applyNumberFormat="1"/>
    <xf numFmtId="0" fontId="7" fillId="3" borderId="4" xfId="1" applyFont="1" applyFill="1" applyBorder="1" applyAlignment="1">
      <alignment horizontal="center" vertical="center"/>
    </xf>
    <xf numFmtId="0" fontId="7" fillId="3" borderId="4" xfId="1" applyFont="1" applyFill="1" applyBorder="1" applyAlignment="1">
      <alignment vertical="center" wrapText="1"/>
    </xf>
    <xf numFmtId="0" fontId="1" fillId="3" borderId="4" xfId="1" applyFill="1" applyBorder="1"/>
    <xf numFmtId="1" fontId="1" fillId="3" borderId="4" xfId="1" applyNumberFormat="1" applyFill="1" applyBorder="1"/>
    <xf numFmtId="0" fontId="1" fillId="0" borderId="2" xfId="1" applyBorder="1"/>
    <xf numFmtId="1" fontId="1" fillId="0" borderId="2" xfId="1" applyNumberFormat="1" applyBorder="1"/>
    <xf numFmtId="0" fontId="1" fillId="0" borderId="3" xfId="1" applyBorder="1"/>
    <xf numFmtId="1" fontId="1" fillId="0" borderId="3" xfId="1" applyNumberFormat="1" applyBorder="1"/>
    <xf numFmtId="1" fontId="1" fillId="4" borderId="3" xfId="1" applyNumberFormat="1" applyFill="1" applyBorder="1"/>
    <xf numFmtId="0" fontId="7" fillId="0" borderId="4" xfId="1" applyFont="1" applyBorder="1" applyAlignment="1">
      <alignment horizontal="center" vertical="center"/>
    </xf>
    <xf numFmtId="0" fontId="7" fillId="0" borderId="4" xfId="1" applyFont="1" applyBorder="1" applyAlignment="1">
      <alignment vertical="center"/>
    </xf>
    <xf numFmtId="0" fontId="1" fillId="0" borderId="4" xfId="1" applyBorder="1" applyAlignment="1">
      <alignment vertical="center"/>
    </xf>
    <xf numFmtId="0" fontId="1" fillId="0" borderId="2" xfId="1" applyBorder="1" applyAlignment="1">
      <alignment vertical="center" wrapText="1"/>
    </xf>
    <xf numFmtId="1" fontId="1" fillId="4" borderId="2" xfId="1" applyNumberFormat="1" applyFill="1" applyBorder="1" applyAlignment="1">
      <alignment horizontal="right" vertical="center"/>
    </xf>
    <xf numFmtId="1" fontId="1" fillId="0" borderId="2" xfId="1" applyNumberFormat="1" applyBorder="1" applyAlignment="1">
      <alignment horizontal="right" vertical="center"/>
    </xf>
    <xf numFmtId="1" fontId="1" fillId="5" borderId="2" xfId="1" applyNumberFormat="1" applyFill="1" applyBorder="1"/>
    <xf numFmtId="0" fontId="1" fillId="0" borderId="3" xfId="1" applyBorder="1" applyAlignment="1">
      <alignment vertical="center" wrapText="1"/>
    </xf>
    <xf numFmtId="1" fontId="1" fillId="0" borderId="3" xfId="1" applyNumberFormat="1" applyBorder="1" applyAlignment="1">
      <alignment horizontal="right" vertical="center"/>
    </xf>
    <xf numFmtId="0" fontId="7" fillId="0" borderId="5" xfId="1" applyFont="1" applyBorder="1" applyAlignment="1">
      <alignment horizontal="center" vertical="center"/>
    </xf>
    <xf numFmtId="0" fontId="7" fillId="0" borderId="5" xfId="1" applyFont="1" applyBorder="1" applyAlignment="1">
      <alignment vertical="center" wrapText="1"/>
    </xf>
    <xf numFmtId="0" fontId="1" fillId="0" borderId="5" xfId="1" applyBorder="1"/>
    <xf numFmtId="1" fontId="1" fillId="0" borderId="5" xfId="1" applyNumberFormat="1" applyBorder="1" applyAlignment="1">
      <alignment horizontal="right" vertical="center"/>
    </xf>
    <xf numFmtId="1" fontId="1" fillId="0" borderId="0" xfId="1" applyNumberFormat="1"/>
    <xf numFmtId="0" fontId="7" fillId="0" borderId="4" xfId="1" applyFont="1" applyBorder="1" applyAlignment="1">
      <alignment vertical="center" wrapText="1"/>
    </xf>
    <xf numFmtId="0" fontId="1" fillId="0" borderId="4" xfId="1" applyBorder="1"/>
    <xf numFmtId="1" fontId="1" fillId="0" borderId="4" xfId="1" applyNumberFormat="1" applyBorder="1"/>
    <xf numFmtId="0" fontId="1" fillId="0" borderId="2" xfId="1" applyBorder="1" applyAlignment="1">
      <alignment horizontal="center"/>
    </xf>
    <xf numFmtId="0" fontId="7" fillId="0" borderId="5" xfId="1" applyFont="1" applyBorder="1" applyAlignment="1">
      <alignment vertical="center"/>
    </xf>
    <xf numFmtId="1" fontId="1" fillId="0" borderId="5" xfId="1" applyNumberFormat="1" applyBorder="1" applyAlignment="1">
      <alignment vertical="center"/>
    </xf>
    <xf numFmtId="0" fontId="7" fillId="0" borderId="4" xfId="1" applyFont="1" applyBorder="1" applyAlignment="1">
      <alignment wrapText="1"/>
    </xf>
    <xf numFmtId="1" fontId="7" fillId="0" borderId="4" xfId="1" applyNumberFormat="1" applyFont="1" applyBorder="1" applyAlignment="1">
      <alignment wrapText="1"/>
    </xf>
    <xf numFmtId="1" fontId="1" fillId="5" borderId="3" xfId="1" applyNumberFormat="1" applyFill="1" applyBorder="1"/>
    <xf numFmtId="0" fontId="7" fillId="0" borderId="5" xfId="1" applyFont="1" applyBorder="1" applyAlignment="1">
      <alignment wrapText="1"/>
    </xf>
    <xf numFmtId="1" fontId="1" fillId="0" borderId="5" xfId="1" applyNumberFormat="1" applyBorder="1"/>
    <xf numFmtId="0" fontId="1" fillId="0" borderId="0" xfId="1" applyAlignment="1">
      <alignment horizontal="center" vertical="center"/>
    </xf>
    <xf numFmtId="0" fontId="7" fillId="0" borderId="4" xfId="1" applyFont="1" applyBorder="1"/>
    <xf numFmtId="0" fontId="1" fillId="0" borderId="2" xfId="1" applyBorder="1" applyAlignment="1">
      <alignment horizontal="center" vertical="center"/>
    </xf>
    <xf numFmtId="0" fontId="1" fillId="0" borderId="3" xfId="1" applyBorder="1" applyAlignment="1">
      <alignment horizontal="center" vertical="center"/>
    </xf>
    <xf numFmtId="1" fontId="1" fillId="6" borderId="4" xfId="1" applyNumberFormat="1" applyFill="1" applyBorder="1"/>
    <xf numFmtId="166" fontId="1" fillId="6" borderId="3" xfId="1" applyNumberFormat="1" applyFill="1" applyBorder="1"/>
    <xf numFmtId="0" fontId="5" fillId="0" borderId="0" xfId="1" applyFont="1" applyAlignment="1"/>
    <xf numFmtId="0" fontId="7" fillId="0" borderId="0" xfId="1" applyFont="1" applyAlignment="1">
      <alignment horizontal="center"/>
    </xf>
    <xf numFmtId="0" fontId="1" fillId="0" borderId="13" xfId="1" applyBorder="1"/>
    <xf numFmtId="0" fontId="1" fillId="0" borderId="14" xfId="1" applyBorder="1"/>
    <xf numFmtId="0" fontId="1" fillId="0" borderId="15" xfId="1" applyBorder="1"/>
    <xf numFmtId="0" fontId="7" fillId="0" borderId="7" xfId="1" applyFont="1" applyFill="1" applyBorder="1" applyAlignment="1">
      <alignment horizontal="center"/>
    </xf>
    <xf numFmtId="0" fontId="1" fillId="0" borderId="13" xfId="1" applyBorder="1" applyAlignment="1">
      <alignment vertical="center"/>
    </xf>
    <xf numFmtId="0" fontId="1" fillId="0" borderId="15" xfId="1" applyBorder="1" applyAlignment="1">
      <alignment vertical="center"/>
    </xf>
    <xf numFmtId="0" fontId="1" fillId="7" borderId="10" xfId="1" applyFill="1" applyBorder="1" applyAlignment="1">
      <alignment horizontal="center" vertical="center"/>
    </xf>
    <xf numFmtId="0" fontId="1" fillId="0" borderId="0" xfId="1" applyAlignment="1">
      <alignment vertical="center"/>
    </xf>
    <xf numFmtId="0" fontId="1" fillId="0" borderId="9" xfId="1" applyBorder="1" applyAlignment="1">
      <alignment horizontal="center" vertical="center"/>
    </xf>
    <xf numFmtId="0" fontId="1" fillId="0" borderId="10" xfId="1" applyBorder="1" applyAlignment="1">
      <alignment horizontal="center" vertical="center"/>
    </xf>
    <xf numFmtId="0" fontId="1" fillId="0" borderId="11" xfId="1" applyBorder="1" applyAlignment="1">
      <alignment horizontal="center" vertical="center"/>
    </xf>
    <xf numFmtId="0" fontId="7" fillId="0" borderId="14" xfId="1" applyFont="1" applyBorder="1"/>
    <xf numFmtId="0" fontId="1" fillId="7" borderId="9" xfId="1" applyFill="1" applyBorder="1" applyAlignment="1">
      <alignment horizontal="center" vertical="center"/>
    </xf>
    <xf numFmtId="0" fontId="1" fillId="0" borderId="0" xfId="1" applyBorder="1"/>
    <xf numFmtId="0" fontId="1" fillId="0" borderId="0" xfId="1" applyBorder="1" applyAlignment="1">
      <alignment vertical="center" wrapText="1"/>
    </xf>
    <xf numFmtId="1" fontId="1" fillId="0" borderId="0" xfId="1" applyNumberFormat="1" applyBorder="1" applyAlignment="1">
      <alignment horizontal="right" vertical="center"/>
    </xf>
    <xf numFmtId="1" fontId="1" fillId="0" borderId="0" xfId="1" applyNumberFormat="1" applyBorder="1"/>
    <xf numFmtId="0" fontId="7" fillId="0" borderId="8" xfId="1" applyFont="1" applyFill="1" applyBorder="1" applyAlignment="1">
      <alignment horizontal="center" vertical="center"/>
    </xf>
    <xf numFmtId="0" fontId="7" fillId="0" borderId="12" xfId="1" applyFont="1" applyFill="1" applyBorder="1" applyAlignment="1">
      <alignment horizontal="center" vertical="center"/>
    </xf>
    <xf numFmtId="0" fontId="7" fillId="0" borderId="12" xfId="1" applyFont="1" applyFill="1" applyBorder="1" applyAlignment="1">
      <alignment horizontal="center" vertical="center" wrapText="1"/>
    </xf>
    <xf numFmtId="0" fontId="1" fillId="7" borderId="11" xfId="1" applyFill="1" applyBorder="1" applyAlignment="1">
      <alignment horizontal="center" vertical="center"/>
    </xf>
    <xf numFmtId="0" fontId="7" fillId="0" borderId="7" xfId="1" applyFont="1" applyFill="1" applyBorder="1" applyAlignment="1">
      <alignment horizontal="center" vertical="center"/>
    </xf>
    <xf numFmtId="0" fontId="1" fillId="0" borderId="18" xfId="1" applyFont="1" applyFill="1" applyBorder="1" applyAlignment="1">
      <alignment horizontal="left" vertical="center"/>
    </xf>
    <xf numFmtId="166" fontId="1" fillId="7" borderId="11" xfId="2" applyNumberFormat="1" applyFont="1" applyFill="1" applyBorder="1" applyAlignment="1">
      <alignment horizontal="center" vertical="center"/>
    </xf>
    <xf numFmtId="1" fontId="1" fillId="4" borderId="0" xfId="1" applyNumberFormat="1" applyFill="1" applyBorder="1"/>
    <xf numFmtId="0" fontId="1" fillId="7" borderId="22" xfId="1" applyFill="1" applyBorder="1" applyAlignment="1">
      <alignment horizontal="center" vertical="center"/>
    </xf>
    <xf numFmtId="0" fontId="7" fillId="0" borderId="23" xfId="1" applyFont="1" applyBorder="1" applyAlignment="1">
      <alignment horizontal="right"/>
    </xf>
    <xf numFmtId="0" fontId="1" fillId="0" borderId="16" xfId="1" applyFont="1" applyFill="1" applyBorder="1" applyAlignment="1">
      <alignment horizontal="center" vertical="center"/>
    </xf>
    <xf numFmtId="0" fontId="8" fillId="8" borderId="0" xfId="1" applyFont="1" applyFill="1"/>
    <xf numFmtId="0" fontId="1" fillId="0" borderId="0" xfId="1" applyAlignment="1">
      <alignment wrapText="1"/>
    </xf>
    <xf numFmtId="0" fontId="1" fillId="0" borderId="2" xfId="1" applyBorder="1" applyAlignment="1">
      <alignment vertical="center"/>
    </xf>
    <xf numFmtId="1" fontId="1" fillId="0" borderId="2" xfId="1" applyNumberFormat="1" applyBorder="1" applyAlignment="1">
      <alignment vertical="center"/>
    </xf>
    <xf numFmtId="0" fontId="8" fillId="8" borderId="0" xfId="1" applyFont="1" applyFill="1" applyAlignment="1">
      <alignment vertical="center"/>
    </xf>
    <xf numFmtId="0" fontId="1" fillId="0" borderId="3" xfId="1" applyBorder="1" applyAlignment="1">
      <alignment vertical="center"/>
    </xf>
    <xf numFmtId="166" fontId="1" fillId="0" borderId="3" xfId="1" applyNumberFormat="1" applyBorder="1" applyAlignment="1">
      <alignment vertical="center"/>
    </xf>
    <xf numFmtId="0" fontId="0" fillId="0" borderId="0" xfId="0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7" fillId="0" borderId="17" xfId="1" applyFont="1" applyFill="1" applyBorder="1" applyAlignment="1">
      <alignment horizontal="center"/>
    </xf>
    <xf numFmtId="0" fontId="7" fillId="0" borderId="8" xfId="1" applyFont="1" applyFill="1" applyBorder="1" applyAlignment="1">
      <alignment horizontal="center"/>
    </xf>
    <xf numFmtId="0" fontId="1" fillId="0" borderId="6" xfId="1" applyBorder="1" applyAlignment="1">
      <alignment horizontal="center"/>
    </xf>
    <xf numFmtId="165" fontId="1" fillId="0" borderId="6" xfId="1" applyNumberFormat="1" applyBorder="1" applyAlignment="1">
      <alignment horizontal="center"/>
    </xf>
    <xf numFmtId="0" fontId="7" fillId="0" borderId="24" xfId="1" applyFont="1" applyBorder="1" applyAlignment="1">
      <alignment horizontal="center" vertical="center"/>
    </xf>
    <xf numFmtId="0" fontId="7" fillId="0" borderId="24" xfId="1" applyFont="1" applyBorder="1" applyAlignment="1">
      <alignment vertical="center" wrapText="1"/>
    </xf>
    <xf numFmtId="0" fontId="1" fillId="0" borderId="24" xfId="1" applyBorder="1"/>
    <xf numFmtId="1" fontId="1" fillId="0" borderId="24" xfId="1" applyNumberFormat="1" applyBorder="1"/>
    <xf numFmtId="0" fontId="1" fillId="7" borderId="9" xfId="1" quotePrefix="1" applyFill="1" applyBorder="1" applyAlignment="1">
      <alignment horizontal="center" vertical="center"/>
    </xf>
    <xf numFmtId="0" fontId="0" fillId="0" borderId="0" xfId="0" applyFont="1" applyBorder="1" applyAlignment="1" applyProtection="1">
      <alignment horizontal="left"/>
      <protection locked="0"/>
    </xf>
    <xf numFmtId="0" fontId="2" fillId="9" borderId="0" xfId="0" applyFont="1" applyFill="1" applyAlignment="1" applyProtection="1">
      <alignment horizontal="center" vertical="center" wrapText="1"/>
    </xf>
    <xf numFmtId="0" fontId="1" fillId="7" borderId="21" xfId="1" applyFill="1" applyBorder="1" applyAlignment="1">
      <alignment horizontal="center" vertical="center"/>
    </xf>
    <xf numFmtId="0" fontId="1" fillId="7" borderId="16" xfId="1" applyFont="1" applyFill="1" applyBorder="1" applyAlignment="1">
      <alignment horizontal="center" vertical="center"/>
    </xf>
    <xf numFmtId="0" fontId="7" fillId="7" borderId="19" xfId="1" applyFont="1" applyFill="1" applyBorder="1" applyAlignment="1">
      <alignment horizontal="center" vertical="center"/>
    </xf>
    <xf numFmtId="167" fontId="0" fillId="0" borderId="1" xfId="0" applyNumberFormat="1" applyFont="1" applyBorder="1" applyAlignment="1">
      <alignment horizontal="center"/>
    </xf>
    <xf numFmtId="167" fontId="0" fillId="0" borderId="0" xfId="0" applyNumberFormat="1" applyProtection="1">
      <protection locked="0"/>
    </xf>
    <xf numFmtId="164" fontId="0" fillId="0" borderId="0" xfId="0" applyNumberFormat="1" applyFont="1" applyBorder="1" applyAlignment="1" applyProtection="1">
      <alignment horizontal="center"/>
      <protection locked="0"/>
    </xf>
    <xf numFmtId="164" fontId="0" fillId="0" borderId="1" xfId="0" applyNumberFormat="1" applyFont="1" applyBorder="1" applyAlignment="1">
      <alignment horizontal="center"/>
    </xf>
    <xf numFmtId="0" fontId="1" fillId="0" borderId="13" xfId="1" applyFont="1" applyFill="1" applyBorder="1" applyAlignment="1">
      <alignment horizontal="left"/>
    </xf>
    <xf numFmtId="0" fontId="1" fillId="0" borderId="14" xfId="1" applyFill="1" applyBorder="1"/>
    <xf numFmtId="0" fontId="1" fillId="0" borderId="15" xfId="1" applyFill="1" applyBorder="1"/>
    <xf numFmtId="0" fontId="1" fillId="0" borderId="13" xfId="1" applyFill="1" applyBorder="1"/>
    <xf numFmtId="0" fontId="1" fillId="0" borderId="20" xfId="1" applyFill="1" applyBorder="1"/>
    <xf numFmtId="0" fontId="7" fillId="0" borderId="0" xfId="1" applyFont="1" applyAlignment="1">
      <alignment horizontal="center"/>
    </xf>
    <xf numFmtId="0" fontId="4" fillId="0" borderId="0" xfId="1" applyFont="1" applyAlignment="1">
      <alignment horizontal="center"/>
    </xf>
    <xf numFmtId="0" fontId="5" fillId="0" borderId="0" xfId="1" applyFont="1" applyAlignment="1">
      <alignment horizontal="left"/>
    </xf>
    <xf numFmtId="0" fontId="1" fillId="0" borderId="6" xfId="1" applyBorder="1" applyAlignment="1">
      <alignment horizontal="center"/>
    </xf>
    <xf numFmtId="165" fontId="1" fillId="0" borderId="6" xfId="1" applyNumberFormat="1" applyBorder="1" applyAlignment="1">
      <alignment horizontal="center"/>
    </xf>
  </cellXfs>
  <cellStyles count="3">
    <cellStyle name="Normal" xfId="0" builtinId="0"/>
    <cellStyle name="Normal 2" xfId="1" xr:uid="{BABBBFCB-509F-4038-95DE-D0CC82940A26}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BA30F-91E5-456E-94D2-7AC743B1D6BA}">
  <sheetPr codeName="Sheet1"/>
  <dimension ref="A1:O9"/>
  <sheetViews>
    <sheetView zoomScale="70" zoomScaleNormal="70" workbookViewId="0"/>
  </sheetViews>
  <sheetFormatPr defaultRowHeight="15" x14ac:dyDescent="0.25"/>
  <cols>
    <col min="1" max="1" width="25" style="109" bestFit="1" customWidth="1"/>
    <col min="2" max="2" width="22.42578125" style="3" bestFit="1" customWidth="1"/>
    <col min="3" max="3" width="5.42578125" style="3" bestFit="1" customWidth="1"/>
    <col min="4" max="4" width="11.140625" style="3" bestFit="1" customWidth="1"/>
    <col min="5" max="5" width="12.42578125" style="3" customWidth="1"/>
    <col min="6" max="6" width="6.140625" style="3" bestFit="1" customWidth="1"/>
    <col min="7" max="7" width="11.5703125" style="3" bestFit="1" customWidth="1"/>
    <col min="8" max="8" width="24.85546875" style="3" bestFit="1" customWidth="1"/>
    <col min="9" max="10" width="22.42578125" style="3" bestFit="1" customWidth="1"/>
    <col min="11" max="11" width="19.7109375" style="3" bestFit="1" customWidth="1"/>
    <col min="12" max="12" width="18.85546875" style="3" bestFit="1" customWidth="1"/>
    <col min="13" max="14" width="14.28515625" style="3" customWidth="1"/>
    <col min="15" max="15" width="25" style="4" bestFit="1" customWidth="1"/>
    <col min="16" max="16384" width="9.140625" style="3"/>
  </cols>
  <sheetData>
    <row r="1" spans="1:15" customFormat="1" x14ac:dyDescent="0.25">
      <c r="A1" s="108" t="s">
        <v>26</v>
      </c>
      <c r="B1" s="1" t="s">
        <v>27</v>
      </c>
      <c r="C1" s="1" t="s">
        <v>28</v>
      </c>
      <c r="D1" s="1" t="s">
        <v>36</v>
      </c>
      <c r="E1" s="1" t="s">
        <v>29</v>
      </c>
      <c r="F1" s="1" t="s">
        <v>0</v>
      </c>
      <c r="G1" s="1" t="s">
        <v>37</v>
      </c>
      <c r="H1" s="1" t="s">
        <v>30</v>
      </c>
      <c r="I1" s="1" t="s">
        <v>31</v>
      </c>
      <c r="J1" s="1" t="s">
        <v>32</v>
      </c>
      <c r="K1" s="1" t="s">
        <v>33</v>
      </c>
      <c r="L1" s="1" t="s">
        <v>34</v>
      </c>
      <c r="M1" s="1" t="s">
        <v>147</v>
      </c>
      <c r="N1" s="1" t="s">
        <v>148</v>
      </c>
      <c r="O1" s="111" t="s">
        <v>35</v>
      </c>
    </row>
    <row r="2" spans="1:15" x14ac:dyDescent="0.25">
      <c r="A2" s="110">
        <v>44514</v>
      </c>
      <c r="B2" s="2" t="s">
        <v>169</v>
      </c>
      <c r="C2" s="2"/>
      <c r="D2" s="2"/>
      <c r="E2" s="2"/>
      <c r="F2" s="2"/>
      <c r="G2" s="2"/>
      <c r="H2" s="2"/>
      <c r="I2" s="2"/>
      <c r="J2" s="2" t="s">
        <v>152</v>
      </c>
      <c r="K2" s="2"/>
      <c r="L2" s="2"/>
      <c r="M2" s="2" t="s">
        <v>144</v>
      </c>
      <c r="N2" s="2" t="s">
        <v>144</v>
      </c>
      <c r="O2" s="110">
        <v>44529</v>
      </c>
    </row>
    <row r="3" spans="1:15" x14ac:dyDescent="0.25">
      <c r="A3" s="110">
        <v>44510</v>
      </c>
      <c r="B3" s="2" t="s">
        <v>163</v>
      </c>
      <c r="C3" s="2" t="s">
        <v>164</v>
      </c>
      <c r="D3" s="2" t="s">
        <v>165</v>
      </c>
      <c r="E3" s="2" t="s">
        <v>3</v>
      </c>
      <c r="F3" s="2">
        <v>109</v>
      </c>
      <c r="G3" s="2" t="s">
        <v>166</v>
      </c>
      <c r="H3" s="2" t="s">
        <v>167</v>
      </c>
      <c r="I3" s="2" t="s">
        <v>24</v>
      </c>
      <c r="J3" s="2" t="s">
        <v>22</v>
      </c>
      <c r="K3" s="2" t="s">
        <v>13</v>
      </c>
      <c r="L3" s="2" t="s">
        <v>168</v>
      </c>
      <c r="M3" s="2" t="s">
        <v>143</v>
      </c>
      <c r="N3" s="2" t="s">
        <v>143</v>
      </c>
      <c r="O3" s="110"/>
    </row>
    <row r="4" spans="1:15" x14ac:dyDescent="0.25">
      <c r="A4" s="110">
        <v>44517</v>
      </c>
      <c r="B4" s="2" t="s">
        <v>157</v>
      </c>
      <c r="C4" s="2" t="s">
        <v>158</v>
      </c>
      <c r="D4" s="2" t="s">
        <v>159</v>
      </c>
      <c r="E4" s="2" t="s">
        <v>3</v>
      </c>
      <c r="F4" s="2">
        <v>114</v>
      </c>
      <c r="G4" s="2" t="s">
        <v>160</v>
      </c>
      <c r="H4" s="2" t="s">
        <v>161</v>
      </c>
      <c r="I4" s="2" t="s">
        <v>11</v>
      </c>
      <c r="J4" s="2" t="s">
        <v>154</v>
      </c>
      <c r="K4" s="2" t="s">
        <v>21</v>
      </c>
      <c r="L4" s="2" t="s">
        <v>162</v>
      </c>
      <c r="M4" s="2" t="s">
        <v>143</v>
      </c>
      <c r="N4" s="2" t="s">
        <v>143</v>
      </c>
      <c r="O4" s="110">
        <v>44521</v>
      </c>
    </row>
    <row r="5" spans="1:15" x14ac:dyDescent="0.25">
      <c r="A5" s="110">
        <v>44473</v>
      </c>
      <c r="B5" s="2" t="s">
        <v>42</v>
      </c>
      <c r="C5" s="2">
        <v>22</v>
      </c>
      <c r="D5" s="2">
        <v>666</v>
      </c>
      <c r="E5" s="2" t="s">
        <v>5</v>
      </c>
      <c r="F5" s="2">
        <v>2</v>
      </c>
      <c r="G5" s="2" t="s">
        <v>43</v>
      </c>
      <c r="H5" s="2" t="s">
        <v>44</v>
      </c>
      <c r="I5" s="2" t="s">
        <v>2</v>
      </c>
      <c r="J5" s="2" t="s">
        <v>7</v>
      </c>
      <c r="K5" s="2" t="s">
        <v>8</v>
      </c>
      <c r="L5" s="2" t="s">
        <v>45</v>
      </c>
      <c r="M5" s="2" t="s">
        <v>144</v>
      </c>
      <c r="N5" s="2" t="s">
        <v>144</v>
      </c>
      <c r="O5" s="110"/>
    </row>
    <row r="6" spans="1:15" x14ac:dyDescent="0.25">
      <c r="A6" s="110">
        <v>44476</v>
      </c>
      <c r="B6" s="2" t="s">
        <v>38</v>
      </c>
      <c r="C6" s="2">
        <v>49</v>
      </c>
      <c r="D6" s="2" t="s">
        <v>39</v>
      </c>
      <c r="E6" s="2" t="s">
        <v>4</v>
      </c>
      <c r="F6" s="2">
        <v>1</v>
      </c>
      <c r="G6" s="2" t="s">
        <v>1</v>
      </c>
      <c r="H6" s="2" t="s">
        <v>40</v>
      </c>
      <c r="I6" s="2" t="s">
        <v>7</v>
      </c>
      <c r="J6" s="2" t="s">
        <v>151</v>
      </c>
      <c r="K6" s="2" t="s">
        <v>152</v>
      </c>
      <c r="L6" s="2" t="s">
        <v>41</v>
      </c>
      <c r="M6" s="2" t="s">
        <v>143</v>
      </c>
      <c r="N6" s="2" t="s">
        <v>143</v>
      </c>
      <c r="O6" s="110">
        <v>44478</v>
      </c>
    </row>
    <row r="7" spans="1:15" x14ac:dyDescent="0.25">
      <c r="A7" s="110">
        <v>44482</v>
      </c>
      <c r="B7" s="2" t="s">
        <v>46</v>
      </c>
      <c r="C7" s="2">
        <v>13</v>
      </c>
      <c r="D7" s="2">
        <v>3</v>
      </c>
      <c r="E7" s="2" t="s">
        <v>5</v>
      </c>
      <c r="F7" s="2">
        <v>3</v>
      </c>
      <c r="G7" s="2" t="s">
        <v>47</v>
      </c>
      <c r="H7" s="2" t="s">
        <v>48</v>
      </c>
      <c r="I7" s="2" t="s">
        <v>151</v>
      </c>
      <c r="J7" s="2"/>
      <c r="K7" s="2"/>
      <c r="L7" s="2" t="s">
        <v>49</v>
      </c>
      <c r="M7" s="2" t="s">
        <v>144</v>
      </c>
      <c r="N7" s="2" t="s">
        <v>143</v>
      </c>
      <c r="O7" s="110">
        <v>44483</v>
      </c>
    </row>
    <row r="8" spans="1:15" x14ac:dyDescent="0.25">
      <c r="A8" s="110">
        <v>44502</v>
      </c>
      <c r="B8" s="5">
        <v>44502</v>
      </c>
      <c r="C8" s="2">
        <v>2</v>
      </c>
      <c r="D8" s="2" t="s">
        <v>51</v>
      </c>
      <c r="E8" s="2" t="s">
        <v>4</v>
      </c>
      <c r="F8" s="2" t="s">
        <v>50</v>
      </c>
      <c r="G8" s="2" t="s">
        <v>52</v>
      </c>
      <c r="H8" s="2" t="s">
        <v>53</v>
      </c>
      <c r="I8" s="2" t="s">
        <v>151</v>
      </c>
      <c r="J8" s="2" t="s">
        <v>152</v>
      </c>
      <c r="K8" s="2" t="s">
        <v>153</v>
      </c>
      <c r="L8" s="2" t="s">
        <v>54</v>
      </c>
      <c r="M8" s="2" t="s">
        <v>143</v>
      </c>
      <c r="N8" s="2" t="s">
        <v>143</v>
      </c>
      <c r="O8" s="110">
        <v>44503</v>
      </c>
    </row>
    <row r="9" spans="1:15" x14ac:dyDescent="0.25">
      <c r="M9" s="2"/>
    </row>
  </sheetData>
  <sheetProtection sheet="1" objects="1" scenarios="1" insertRows="0" deleteRows="0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087E3-5128-4042-9FD7-6AC685F380B9}">
  <sheetPr codeName="Sheet6"/>
  <dimension ref="B1:M76"/>
  <sheetViews>
    <sheetView tabSelected="1" zoomScale="80" zoomScaleNormal="80" workbookViewId="0">
      <selection activeCell="K3" sqref="K3"/>
    </sheetView>
  </sheetViews>
  <sheetFormatPr defaultColWidth="12.5703125" defaultRowHeight="15.75" x14ac:dyDescent="0.25"/>
  <cols>
    <col min="1" max="1" width="12.5703125" style="12"/>
    <col min="2" max="2" width="48.140625" style="12" bestFit="1" customWidth="1"/>
    <col min="3" max="5" width="12.5703125" style="12"/>
    <col min="6" max="6" width="5.7109375" style="12" customWidth="1"/>
    <col min="7" max="7" width="37.140625" style="12" customWidth="1"/>
    <col min="8" max="8" width="9.5703125" style="12" customWidth="1"/>
    <col min="9" max="9" width="12.5703125" style="12"/>
    <col min="10" max="10" width="6.42578125" style="12" customWidth="1"/>
    <col min="11" max="11" width="32.42578125" style="12" customWidth="1"/>
    <col min="12" max="16384" width="12.5703125" style="12"/>
  </cols>
  <sheetData>
    <row r="1" spans="2:12" ht="21" x14ac:dyDescent="0.35">
      <c r="B1" s="93" t="s">
        <v>67</v>
      </c>
      <c r="C1" s="93"/>
      <c r="D1" s="93"/>
      <c r="E1" s="93"/>
      <c r="F1" s="118" t="s">
        <v>67</v>
      </c>
      <c r="G1" s="118"/>
      <c r="H1" s="118"/>
      <c r="I1" s="118"/>
    </row>
    <row r="2" spans="2:12" ht="18.75" x14ac:dyDescent="0.3">
      <c r="B2" s="12" t="s">
        <v>122</v>
      </c>
      <c r="D2" s="55"/>
      <c r="E2" s="55"/>
      <c r="F2" s="119" t="s">
        <v>68</v>
      </c>
      <c r="G2" s="119"/>
      <c r="H2" s="119"/>
      <c r="I2" s="119"/>
    </row>
    <row r="3" spans="2:12" x14ac:dyDescent="0.25">
      <c r="B3" s="12" t="s">
        <v>123</v>
      </c>
      <c r="G3" s="13" t="s">
        <v>69</v>
      </c>
      <c r="H3" s="14">
        <v>44446</v>
      </c>
    </row>
    <row r="4" spans="2:12" x14ac:dyDescent="0.25">
      <c r="G4" s="13"/>
      <c r="H4" s="14"/>
    </row>
    <row r="5" spans="2:12" ht="16.5" thickBot="1" x14ac:dyDescent="0.3">
      <c r="G5" s="13"/>
      <c r="H5" s="14"/>
    </row>
    <row r="6" spans="2:12" x14ac:dyDescent="0.25">
      <c r="B6" s="94" t="s">
        <v>125</v>
      </c>
      <c r="C6" s="95"/>
      <c r="F6" s="24" t="s">
        <v>74</v>
      </c>
      <c r="G6" s="25" t="s">
        <v>75</v>
      </c>
      <c r="H6" s="26"/>
      <c r="I6" s="26"/>
      <c r="J6" s="26"/>
    </row>
    <row r="7" spans="2:12" x14ac:dyDescent="0.25">
      <c r="B7" s="57" t="s">
        <v>76</v>
      </c>
      <c r="C7" s="69">
        <f>+C54</f>
        <v>6</v>
      </c>
      <c r="F7" s="19"/>
      <c r="G7" s="27" t="s">
        <v>76</v>
      </c>
      <c r="H7" s="19"/>
      <c r="I7" s="28">
        <f>J53</f>
        <v>47</v>
      </c>
      <c r="J7" s="19"/>
      <c r="K7" s="12" t="s">
        <v>77</v>
      </c>
      <c r="L7" s="85" t="s">
        <v>72</v>
      </c>
    </row>
    <row r="8" spans="2:12" x14ac:dyDescent="0.25">
      <c r="B8" s="58" t="s">
        <v>78</v>
      </c>
      <c r="C8" s="66">
        <v>54</v>
      </c>
      <c r="F8" s="19"/>
      <c r="G8" s="27" t="s">
        <v>78</v>
      </c>
      <c r="H8" s="19"/>
      <c r="I8" s="29">
        <v>54</v>
      </c>
      <c r="J8" s="30">
        <f>SUM(I7:I8)</f>
        <v>101</v>
      </c>
      <c r="K8" s="86" t="s">
        <v>156</v>
      </c>
      <c r="L8" s="85" t="s">
        <v>72</v>
      </c>
    </row>
    <row r="9" spans="2:12" x14ac:dyDescent="0.25">
      <c r="B9" s="68" t="s">
        <v>139</v>
      </c>
      <c r="C9" s="63">
        <f>+C7+C8</f>
        <v>60</v>
      </c>
      <c r="F9" s="19"/>
      <c r="G9" s="27"/>
      <c r="H9" s="19"/>
      <c r="I9" s="29"/>
      <c r="J9" s="19"/>
    </row>
    <row r="10" spans="2:12" x14ac:dyDescent="0.25">
      <c r="B10" s="58" t="s">
        <v>79</v>
      </c>
      <c r="C10" s="66">
        <v>15</v>
      </c>
      <c r="F10" s="19"/>
      <c r="G10" s="27" t="s">
        <v>79</v>
      </c>
      <c r="H10" s="19"/>
      <c r="I10" s="29">
        <v>15</v>
      </c>
      <c r="J10" s="19"/>
      <c r="K10" s="12" t="s">
        <v>80</v>
      </c>
      <c r="L10" s="85" t="s">
        <v>72</v>
      </c>
    </row>
    <row r="11" spans="2:12" x14ac:dyDescent="0.25">
      <c r="B11" s="58" t="s">
        <v>81</v>
      </c>
      <c r="C11" s="66">
        <v>0</v>
      </c>
      <c r="F11" s="19"/>
      <c r="G11" s="27" t="s">
        <v>81</v>
      </c>
      <c r="H11" s="19"/>
      <c r="I11" s="29">
        <v>0</v>
      </c>
      <c r="J11" s="19"/>
      <c r="K11" s="12" t="s">
        <v>80</v>
      </c>
      <c r="L11" s="85" t="s">
        <v>72</v>
      </c>
    </row>
    <row r="12" spans="2:12" x14ac:dyDescent="0.25">
      <c r="B12" s="58" t="s">
        <v>82</v>
      </c>
      <c r="C12" s="66">
        <v>1</v>
      </c>
      <c r="F12" s="19"/>
      <c r="G12" s="27" t="s">
        <v>82</v>
      </c>
      <c r="H12" s="19"/>
      <c r="I12" s="29">
        <v>1</v>
      </c>
      <c r="J12" s="19"/>
      <c r="K12" s="12" t="s">
        <v>80</v>
      </c>
      <c r="L12" s="85" t="s">
        <v>72</v>
      </c>
    </row>
    <row r="13" spans="2:12" ht="16.5" thickBot="1" x14ac:dyDescent="0.3">
      <c r="B13" s="59" t="s">
        <v>83</v>
      </c>
      <c r="C13" s="67">
        <v>0</v>
      </c>
      <c r="F13" s="21"/>
      <c r="G13" s="31" t="s">
        <v>83</v>
      </c>
      <c r="H13" s="21"/>
      <c r="I13" s="32">
        <v>0</v>
      </c>
      <c r="J13" s="22"/>
      <c r="K13" s="12" t="s">
        <v>80</v>
      </c>
      <c r="L13" s="85" t="s">
        <v>72</v>
      </c>
    </row>
    <row r="14" spans="2:12" ht="16.5" thickBot="1" x14ac:dyDescent="0.3">
      <c r="C14" s="49"/>
      <c r="F14" s="70"/>
      <c r="G14" s="71"/>
      <c r="H14" s="70"/>
      <c r="I14" s="72"/>
      <c r="J14" s="73"/>
    </row>
    <row r="15" spans="2:12" ht="16.5" thickBot="1" x14ac:dyDescent="0.3">
      <c r="B15" s="60" t="s">
        <v>126</v>
      </c>
      <c r="C15" s="84">
        <v>0</v>
      </c>
      <c r="F15" s="33" t="s">
        <v>84</v>
      </c>
      <c r="G15" s="34" t="s">
        <v>85</v>
      </c>
      <c r="H15" s="35"/>
      <c r="I15" s="36">
        <v>0</v>
      </c>
      <c r="J15" s="35"/>
      <c r="K15" s="12" t="s">
        <v>80</v>
      </c>
      <c r="L15" s="85" t="s">
        <v>72</v>
      </c>
    </row>
    <row r="16" spans="2:12" ht="16.5" thickBot="1" x14ac:dyDescent="0.3">
      <c r="C16" s="49"/>
      <c r="I16" s="37"/>
    </row>
    <row r="17" spans="2:12" x14ac:dyDescent="0.25">
      <c r="B17" s="94" t="s">
        <v>127</v>
      </c>
      <c r="C17" s="95"/>
      <c r="F17" s="24" t="s">
        <v>86</v>
      </c>
      <c r="G17" s="38" t="s">
        <v>87</v>
      </c>
      <c r="H17" s="39"/>
      <c r="I17" s="40"/>
      <c r="J17" s="39"/>
    </row>
    <row r="18" spans="2:12" x14ac:dyDescent="0.25">
      <c r="B18" s="112" t="s">
        <v>7</v>
      </c>
      <c r="C18" s="102">
        <v>2</v>
      </c>
      <c r="F18" s="98"/>
      <c r="G18" s="99"/>
      <c r="H18" s="100"/>
      <c r="I18" s="101"/>
      <c r="J18" s="100"/>
    </row>
    <row r="19" spans="2:12" x14ac:dyDescent="0.25">
      <c r="B19" s="112" t="s">
        <v>150</v>
      </c>
      <c r="C19" s="102">
        <v>0</v>
      </c>
      <c r="F19" s="19"/>
      <c r="G19" s="27" t="s">
        <v>88</v>
      </c>
      <c r="H19" s="41">
        <v>1</v>
      </c>
      <c r="I19" s="20">
        <v>11</v>
      </c>
      <c r="J19" s="19"/>
      <c r="K19" s="12" t="s">
        <v>73</v>
      </c>
      <c r="L19" s="85" t="s">
        <v>72</v>
      </c>
    </row>
    <row r="20" spans="2:12" x14ac:dyDescent="0.25">
      <c r="B20" s="112" t="s">
        <v>151</v>
      </c>
      <c r="C20" s="69">
        <v>3</v>
      </c>
      <c r="F20" s="19"/>
      <c r="G20" s="19"/>
      <c r="H20" s="41">
        <v>2</v>
      </c>
      <c r="I20" s="20">
        <v>5</v>
      </c>
      <c r="J20" s="19"/>
      <c r="K20" s="12" t="s">
        <v>73</v>
      </c>
      <c r="L20" s="85" t="s">
        <v>72</v>
      </c>
    </row>
    <row r="21" spans="2:12" x14ac:dyDescent="0.25">
      <c r="B21" s="112" t="s">
        <v>152</v>
      </c>
      <c r="C21" s="69">
        <v>3</v>
      </c>
      <c r="F21" s="19"/>
      <c r="G21" s="19"/>
      <c r="H21" s="41">
        <v>3</v>
      </c>
      <c r="I21" s="20">
        <v>1</v>
      </c>
      <c r="J21" s="19"/>
      <c r="K21" s="12" t="s">
        <v>73</v>
      </c>
      <c r="L21" s="85" t="s">
        <v>72</v>
      </c>
    </row>
    <row r="22" spans="2:12" ht="15.75" customHeight="1" x14ac:dyDescent="0.25">
      <c r="B22" s="112" t="s">
        <v>153</v>
      </c>
      <c r="C22" s="69">
        <v>1</v>
      </c>
      <c r="F22" s="19"/>
      <c r="G22" s="19"/>
      <c r="H22" s="41">
        <v>4</v>
      </c>
      <c r="I22" s="20">
        <v>3</v>
      </c>
      <c r="J22" s="19"/>
      <c r="K22" s="12" t="s">
        <v>73</v>
      </c>
      <c r="L22" s="85" t="s">
        <v>72</v>
      </c>
    </row>
    <row r="23" spans="2:12" x14ac:dyDescent="0.25">
      <c r="B23" s="112" t="s">
        <v>2</v>
      </c>
      <c r="C23" s="63">
        <v>1</v>
      </c>
      <c r="F23" s="19"/>
      <c r="G23" s="19"/>
      <c r="H23" s="41" t="s">
        <v>2</v>
      </c>
      <c r="I23" s="20">
        <v>5</v>
      </c>
      <c r="J23" s="19"/>
      <c r="K23" s="12" t="s">
        <v>73</v>
      </c>
      <c r="L23" s="85" t="s">
        <v>72</v>
      </c>
    </row>
    <row r="24" spans="2:12" x14ac:dyDescent="0.25">
      <c r="B24" s="113" t="s">
        <v>8</v>
      </c>
      <c r="C24" s="63">
        <v>1</v>
      </c>
      <c r="F24" s="19"/>
      <c r="G24" s="19" t="s">
        <v>8</v>
      </c>
      <c r="H24" s="19"/>
      <c r="I24" s="20">
        <v>0</v>
      </c>
      <c r="J24" s="19"/>
      <c r="K24" s="12" t="s">
        <v>73</v>
      </c>
      <c r="L24" s="85" t="s">
        <v>72</v>
      </c>
    </row>
    <row r="25" spans="2:12" x14ac:dyDescent="0.25">
      <c r="B25" s="113" t="s">
        <v>9</v>
      </c>
      <c r="C25" s="63">
        <v>0</v>
      </c>
      <c r="F25" s="19"/>
      <c r="G25" s="19" t="s">
        <v>89</v>
      </c>
      <c r="H25" s="19"/>
      <c r="I25" s="20">
        <v>0</v>
      </c>
      <c r="J25" s="19"/>
      <c r="K25" s="12" t="s">
        <v>73</v>
      </c>
      <c r="L25" s="85" t="s">
        <v>72</v>
      </c>
    </row>
    <row r="26" spans="2:12" x14ac:dyDescent="0.25">
      <c r="B26" s="113" t="s">
        <v>10</v>
      </c>
      <c r="C26" s="63">
        <v>0</v>
      </c>
      <c r="F26" s="19"/>
      <c r="G26" s="19" t="s">
        <v>90</v>
      </c>
      <c r="H26" s="19" t="s">
        <v>91</v>
      </c>
      <c r="I26" s="20">
        <v>0</v>
      </c>
      <c r="J26" s="19"/>
      <c r="K26" s="12" t="s">
        <v>73</v>
      </c>
      <c r="L26" s="85" t="s">
        <v>72</v>
      </c>
    </row>
    <row r="27" spans="2:12" x14ac:dyDescent="0.25">
      <c r="B27" s="113" t="s">
        <v>11</v>
      </c>
      <c r="C27" s="63">
        <v>1</v>
      </c>
      <c r="F27" s="19"/>
      <c r="G27" s="19"/>
      <c r="H27" s="19" t="s">
        <v>92</v>
      </c>
      <c r="I27" s="20">
        <v>2</v>
      </c>
      <c r="J27" s="19"/>
      <c r="K27" s="12" t="s">
        <v>73</v>
      </c>
      <c r="L27" s="85" t="s">
        <v>72</v>
      </c>
    </row>
    <row r="28" spans="2:12" x14ac:dyDescent="0.25">
      <c r="B28" s="113" t="s">
        <v>12</v>
      </c>
      <c r="C28" s="63">
        <v>0</v>
      </c>
      <c r="F28" s="19"/>
      <c r="G28" s="19"/>
      <c r="H28" s="19" t="s">
        <v>93</v>
      </c>
      <c r="I28" s="20">
        <v>2</v>
      </c>
      <c r="J28" s="19"/>
      <c r="K28" s="12" t="s">
        <v>73</v>
      </c>
      <c r="L28" s="85" t="s">
        <v>72</v>
      </c>
    </row>
    <row r="29" spans="2:12" x14ac:dyDescent="0.25">
      <c r="B29" s="113" t="s">
        <v>13</v>
      </c>
      <c r="C29" s="63">
        <v>1</v>
      </c>
      <c r="F29" s="19"/>
      <c r="G29" s="19" t="s">
        <v>13</v>
      </c>
      <c r="H29" s="19"/>
      <c r="I29" s="20">
        <v>0</v>
      </c>
      <c r="J29" s="19"/>
      <c r="K29" s="12" t="s">
        <v>73</v>
      </c>
      <c r="L29" s="85" t="s">
        <v>72</v>
      </c>
    </row>
    <row r="30" spans="2:12" x14ac:dyDescent="0.25">
      <c r="B30" s="113" t="s">
        <v>55</v>
      </c>
      <c r="C30" s="63">
        <v>0</v>
      </c>
      <c r="F30" s="19"/>
      <c r="G30" s="19" t="s">
        <v>55</v>
      </c>
      <c r="H30" s="19"/>
      <c r="I30" s="20">
        <v>0</v>
      </c>
      <c r="J30" s="19"/>
      <c r="K30" s="12" t="s">
        <v>73</v>
      </c>
      <c r="L30" s="85" t="s">
        <v>72</v>
      </c>
    </row>
    <row r="31" spans="2:12" x14ac:dyDescent="0.25">
      <c r="B31" s="113" t="s">
        <v>154</v>
      </c>
      <c r="C31" s="63">
        <v>1</v>
      </c>
      <c r="F31" s="19"/>
      <c r="G31" s="19" t="s">
        <v>14</v>
      </c>
      <c r="H31" s="19"/>
      <c r="I31" s="20">
        <v>2</v>
      </c>
      <c r="J31" s="19"/>
      <c r="K31" s="12" t="s">
        <v>73</v>
      </c>
      <c r="L31" s="85" t="s">
        <v>72</v>
      </c>
    </row>
    <row r="32" spans="2:12" x14ac:dyDescent="0.25">
      <c r="B32" s="113" t="s">
        <v>15</v>
      </c>
      <c r="C32" s="63">
        <v>0</v>
      </c>
      <c r="F32" s="19"/>
      <c r="G32" s="19" t="s">
        <v>94</v>
      </c>
      <c r="H32" s="19"/>
      <c r="I32" s="20">
        <v>2</v>
      </c>
      <c r="J32" s="19"/>
      <c r="K32" s="12" t="s">
        <v>73</v>
      </c>
      <c r="L32" s="85" t="s">
        <v>72</v>
      </c>
    </row>
    <row r="33" spans="2:12" x14ac:dyDescent="0.25">
      <c r="B33" s="113" t="s">
        <v>16</v>
      </c>
      <c r="C33" s="63">
        <v>0</v>
      </c>
      <c r="F33" s="19"/>
      <c r="G33" s="19" t="s">
        <v>16</v>
      </c>
      <c r="H33" s="19"/>
      <c r="I33" s="20">
        <v>1</v>
      </c>
      <c r="J33" s="19"/>
      <c r="K33" s="12" t="s">
        <v>73</v>
      </c>
      <c r="L33" s="85" t="s">
        <v>72</v>
      </c>
    </row>
    <row r="34" spans="2:12" x14ac:dyDescent="0.25">
      <c r="B34" s="113" t="s">
        <v>17</v>
      </c>
      <c r="C34" s="63">
        <v>0</v>
      </c>
      <c r="F34" s="19"/>
      <c r="G34" s="19" t="s">
        <v>95</v>
      </c>
      <c r="H34" s="19"/>
      <c r="I34" s="20">
        <v>2</v>
      </c>
      <c r="J34" s="19"/>
      <c r="K34" s="12" t="s">
        <v>73</v>
      </c>
      <c r="L34" s="85" t="s">
        <v>72</v>
      </c>
    </row>
    <row r="35" spans="2:12" x14ac:dyDescent="0.25">
      <c r="B35" s="113" t="s">
        <v>18</v>
      </c>
      <c r="C35" s="63">
        <v>0</v>
      </c>
      <c r="F35" s="19"/>
      <c r="G35" s="19" t="s">
        <v>18</v>
      </c>
      <c r="H35" s="19"/>
      <c r="I35" s="20">
        <v>4</v>
      </c>
      <c r="J35" s="19"/>
      <c r="K35" s="12" t="s">
        <v>73</v>
      </c>
      <c r="L35" s="85" t="s">
        <v>72</v>
      </c>
    </row>
    <row r="36" spans="2:12" x14ac:dyDescent="0.25">
      <c r="B36" s="113" t="s">
        <v>19</v>
      </c>
      <c r="C36" s="63">
        <v>0</v>
      </c>
      <c r="F36" s="19"/>
      <c r="G36" s="19" t="s">
        <v>96</v>
      </c>
      <c r="H36" s="19"/>
      <c r="I36" s="20">
        <v>3</v>
      </c>
      <c r="J36" s="19"/>
      <c r="K36" s="12" t="s">
        <v>73</v>
      </c>
      <c r="L36" s="85" t="s">
        <v>72</v>
      </c>
    </row>
    <row r="37" spans="2:12" x14ac:dyDescent="0.25">
      <c r="B37" s="113" t="s">
        <v>20</v>
      </c>
      <c r="C37" s="63">
        <v>0</v>
      </c>
      <c r="F37" s="19"/>
      <c r="G37" s="19" t="s">
        <v>97</v>
      </c>
      <c r="H37" s="19"/>
      <c r="I37" s="20">
        <v>1</v>
      </c>
      <c r="J37" s="19"/>
      <c r="K37" s="12" t="s">
        <v>73</v>
      </c>
      <c r="L37" s="85" t="s">
        <v>72</v>
      </c>
    </row>
    <row r="38" spans="2:12" x14ac:dyDescent="0.25">
      <c r="B38" s="113" t="s">
        <v>21</v>
      </c>
      <c r="C38" s="63">
        <v>1</v>
      </c>
      <c r="F38" s="19"/>
      <c r="G38" s="19" t="s">
        <v>20</v>
      </c>
      <c r="H38" s="19"/>
      <c r="I38" s="20">
        <v>0</v>
      </c>
      <c r="J38" s="19"/>
      <c r="K38" s="12" t="s">
        <v>73</v>
      </c>
      <c r="L38" s="85" t="s">
        <v>72</v>
      </c>
    </row>
    <row r="39" spans="2:12" x14ac:dyDescent="0.25">
      <c r="B39" s="113" t="s">
        <v>22</v>
      </c>
      <c r="C39" s="63">
        <v>1</v>
      </c>
      <c r="F39" s="19"/>
      <c r="G39" s="19" t="s">
        <v>22</v>
      </c>
      <c r="H39" s="19"/>
      <c r="I39" s="20">
        <v>0</v>
      </c>
      <c r="J39" s="19"/>
      <c r="K39" s="12" t="s">
        <v>73</v>
      </c>
      <c r="L39" s="85" t="s">
        <v>72</v>
      </c>
    </row>
    <row r="40" spans="2:12" x14ac:dyDescent="0.25">
      <c r="B40" s="113" t="s">
        <v>23</v>
      </c>
      <c r="C40" s="63">
        <v>0</v>
      </c>
      <c r="F40" s="19"/>
      <c r="G40" s="19" t="s">
        <v>98</v>
      </c>
      <c r="H40" s="19"/>
      <c r="I40" s="20">
        <v>0</v>
      </c>
      <c r="J40" s="19"/>
      <c r="K40" s="12" t="s">
        <v>73</v>
      </c>
      <c r="L40" s="85" t="s">
        <v>72</v>
      </c>
    </row>
    <row r="41" spans="2:12" x14ac:dyDescent="0.25">
      <c r="B41" s="113" t="s">
        <v>24</v>
      </c>
      <c r="C41" s="63">
        <v>1</v>
      </c>
      <c r="F41" s="19"/>
      <c r="G41" s="19" t="s">
        <v>24</v>
      </c>
      <c r="H41" s="19"/>
      <c r="I41" s="20">
        <v>9</v>
      </c>
      <c r="J41" s="19"/>
      <c r="K41" s="12" t="s">
        <v>73</v>
      </c>
      <c r="L41" s="85" t="s">
        <v>72</v>
      </c>
    </row>
    <row r="42" spans="2:12" ht="16.5" thickBot="1" x14ac:dyDescent="0.3">
      <c r="B42" s="114" t="s">
        <v>25</v>
      </c>
      <c r="C42" s="77">
        <v>0</v>
      </c>
      <c r="F42" s="21"/>
      <c r="G42" s="21" t="s">
        <v>25</v>
      </c>
      <c r="H42" s="21"/>
      <c r="I42" s="22">
        <v>0</v>
      </c>
      <c r="J42" s="23">
        <f>SUM(I19:I42)</f>
        <v>53</v>
      </c>
      <c r="K42" s="12" t="s">
        <v>73</v>
      </c>
      <c r="L42" s="85" t="s">
        <v>72</v>
      </c>
    </row>
    <row r="43" spans="2:12" ht="16.5" thickBot="1" x14ac:dyDescent="0.3">
      <c r="B43" s="83" t="s">
        <v>141</v>
      </c>
      <c r="C43" s="82">
        <f>+SUM(C18:C42)</f>
        <v>17</v>
      </c>
      <c r="F43" s="70"/>
      <c r="G43" s="70"/>
      <c r="H43" s="70"/>
      <c r="I43" s="73"/>
      <c r="J43" s="73"/>
    </row>
    <row r="44" spans="2:12" ht="16.5" thickBot="1" x14ac:dyDescent="0.3">
      <c r="C44" s="49"/>
    </row>
    <row r="45" spans="2:12" ht="16.5" thickBot="1" x14ac:dyDescent="0.3">
      <c r="B45" s="60" t="s">
        <v>128</v>
      </c>
      <c r="C45" s="84">
        <v>1</v>
      </c>
      <c r="F45" s="42" t="s">
        <v>99</v>
      </c>
      <c r="G45" s="34" t="s">
        <v>100</v>
      </c>
      <c r="H45" s="35"/>
      <c r="I45" s="43">
        <v>1</v>
      </c>
      <c r="J45" s="35"/>
      <c r="K45" s="12" t="s">
        <v>80</v>
      </c>
      <c r="L45" s="85" t="s">
        <v>72</v>
      </c>
    </row>
    <row r="46" spans="2:12" ht="16.5" thickBot="1" x14ac:dyDescent="0.3">
      <c r="C46" s="49"/>
      <c r="I46" s="37"/>
    </row>
    <row r="47" spans="2:12" ht="31.5" x14ac:dyDescent="0.25">
      <c r="B47" s="75" t="s">
        <v>124</v>
      </c>
      <c r="C47" s="74"/>
      <c r="F47" s="15" t="s">
        <v>70</v>
      </c>
      <c r="G47" s="16" t="s">
        <v>71</v>
      </c>
      <c r="H47" s="17"/>
      <c r="I47" s="18"/>
      <c r="J47" s="17"/>
    </row>
    <row r="48" spans="2:12" x14ac:dyDescent="0.25">
      <c r="B48" s="115" t="s">
        <v>3</v>
      </c>
      <c r="C48" s="69">
        <v>2</v>
      </c>
      <c r="F48" s="19"/>
      <c r="G48" s="19"/>
      <c r="H48" s="19" t="s">
        <v>58</v>
      </c>
      <c r="I48" s="20">
        <v>11</v>
      </c>
      <c r="J48" s="19"/>
      <c r="K48" s="12" t="s">
        <v>73</v>
      </c>
      <c r="L48" s="85" t="s">
        <v>72</v>
      </c>
    </row>
    <row r="49" spans="2:13" x14ac:dyDescent="0.25">
      <c r="B49" s="113" t="s">
        <v>60</v>
      </c>
      <c r="C49" s="63">
        <v>0</v>
      </c>
      <c r="F49" s="19"/>
      <c r="G49" s="19"/>
      <c r="H49" s="19" t="s">
        <v>4</v>
      </c>
      <c r="I49" s="20">
        <v>17</v>
      </c>
      <c r="J49" s="19"/>
      <c r="K49" s="12" t="s">
        <v>73</v>
      </c>
      <c r="L49" s="85" t="s">
        <v>72</v>
      </c>
    </row>
    <row r="50" spans="2:13" x14ac:dyDescent="0.25">
      <c r="B50" s="113" t="s">
        <v>149</v>
      </c>
      <c r="C50" s="63">
        <v>0</v>
      </c>
      <c r="F50" s="19"/>
      <c r="G50" s="19"/>
      <c r="H50" s="19" t="s">
        <v>59</v>
      </c>
      <c r="I50" s="20">
        <v>14</v>
      </c>
      <c r="J50" s="19"/>
      <c r="K50" s="12" t="s">
        <v>73</v>
      </c>
      <c r="L50" s="85" t="s">
        <v>72</v>
      </c>
    </row>
    <row r="51" spans="2:13" x14ac:dyDescent="0.25">
      <c r="B51" s="113" t="s">
        <v>4</v>
      </c>
      <c r="C51" s="63">
        <v>2</v>
      </c>
      <c r="F51" s="19"/>
      <c r="G51" s="19"/>
      <c r="H51" s="19" t="s">
        <v>60</v>
      </c>
      <c r="I51" s="20">
        <v>2</v>
      </c>
      <c r="J51" s="19"/>
      <c r="K51" s="12" t="s">
        <v>73</v>
      </c>
      <c r="L51" s="85" t="s">
        <v>72</v>
      </c>
    </row>
    <row r="52" spans="2:13" x14ac:dyDescent="0.25">
      <c r="B52" s="113" t="s">
        <v>6</v>
      </c>
      <c r="C52" s="63">
        <v>0</v>
      </c>
      <c r="F52" s="19"/>
      <c r="G52" s="19"/>
      <c r="H52" s="19" t="s">
        <v>61</v>
      </c>
      <c r="I52" s="20">
        <v>2</v>
      </c>
      <c r="J52" s="19"/>
      <c r="K52" s="12" t="s">
        <v>73</v>
      </c>
      <c r="L52" s="85" t="s">
        <v>72</v>
      </c>
    </row>
    <row r="53" spans="2:13" ht="16.5" thickBot="1" x14ac:dyDescent="0.3">
      <c r="B53" s="116" t="s">
        <v>5</v>
      </c>
      <c r="C53" s="105">
        <v>2</v>
      </c>
      <c r="F53" s="21"/>
      <c r="G53" s="21"/>
      <c r="H53" s="21" t="s">
        <v>62</v>
      </c>
      <c r="I53" s="22">
        <v>1</v>
      </c>
      <c r="J53" s="23">
        <f>SUM(I48:I53)</f>
        <v>47</v>
      </c>
      <c r="K53" s="12" t="s">
        <v>73</v>
      </c>
      <c r="L53" s="85" t="s">
        <v>72</v>
      </c>
    </row>
    <row r="54" spans="2:13" ht="16.5" thickBot="1" x14ac:dyDescent="0.3">
      <c r="B54" s="83" t="s">
        <v>141</v>
      </c>
      <c r="C54" s="82">
        <f>+SUM(C48:C53)</f>
        <v>6</v>
      </c>
      <c r="F54" s="70"/>
      <c r="G54" s="70"/>
      <c r="H54" s="70"/>
      <c r="I54" s="73"/>
      <c r="J54" s="81"/>
    </row>
    <row r="55" spans="2:13" ht="16.5" thickBot="1" x14ac:dyDescent="0.3">
      <c r="C55" s="49"/>
      <c r="I55" s="37"/>
    </row>
    <row r="56" spans="2:13" ht="31.5" x14ac:dyDescent="0.25">
      <c r="B56" s="76" t="s">
        <v>129</v>
      </c>
      <c r="C56" s="74"/>
      <c r="F56" s="24" t="s">
        <v>101</v>
      </c>
      <c r="G56" s="44" t="s">
        <v>102</v>
      </c>
      <c r="H56" s="44"/>
      <c r="I56" s="45"/>
      <c r="J56" s="44"/>
    </row>
    <row r="57" spans="2:13" ht="16.5" thickBot="1" x14ac:dyDescent="0.3">
      <c r="B57" s="59" t="s">
        <v>130</v>
      </c>
      <c r="C57" s="77">
        <f>+C9</f>
        <v>60</v>
      </c>
      <c r="F57" s="21"/>
      <c r="G57" s="21" t="s">
        <v>103</v>
      </c>
      <c r="H57" s="21"/>
      <c r="I57" s="46">
        <f>J8</f>
        <v>101</v>
      </c>
      <c r="J57" s="21"/>
      <c r="K57" s="12" t="s">
        <v>73</v>
      </c>
      <c r="L57" s="85" t="s">
        <v>72</v>
      </c>
    </row>
    <row r="58" spans="2:13" ht="16.5" thickBot="1" x14ac:dyDescent="0.3">
      <c r="C58" s="49"/>
      <c r="I58" s="37"/>
    </row>
    <row r="59" spans="2:13" ht="32.25" thickBot="1" x14ac:dyDescent="0.3">
      <c r="B59" s="78" t="s">
        <v>131</v>
      </c>
      <c r="C59" s="106">
        <v>1</v>
      </c>
      <c r="F59" s="33" t="s">
        <v>104</v>
      </c>
      <c r="G59" s="47" t="s">
        <v>105</v>
      </c>
      <c r="H59" s="35"/>
      <c r="I59" s="48">
        <v>0</v>
      </c>
      <c r="J59" s="35"/>
      <c r="K59" s="86" t="s">
        <v>142</v>
      </c>
      <c r="L59" s="85" t="s">
        <v>72</v>
      </c>
      <c r="M59" s="12" t="s">
        <v>170</v>
      </c>
    </row>
    <row r="60" spans="2:13" ht="16.5" thickBot="1" x14ac:dyDescent="0.3">
      <c r="C60" s="49"/>
      <c r="F60" s="49"/>
      <c r="I60" s="37"/>
    </row>
    <row r="61" spans="2:13" x14ac:dyDescent="0.25">
      <c r="B61" s="75" t="s">
        <v>132</v>
      </c>
      <c r="C61" s="74"/>
      <c r="F61" s="24" t="s">
        <v>106</v>
      </c>
      <c r="G61" s="50" t="s">
        <v>107</v>
      </c>
      <c r="H61" s="39"/>
      <c r="I61" s="40"/>
      <c r="J61" s="39"/>
    </row>
    <row r="62" spans="2:13" s="64" customFormat="1" x14ac:dyDescent="0.25">
      <c r="B62" s="61" t="s">
        <v>133</v>
      </c>
      <c r="C62" s="65"/>
      <c r="F62" s="51"/>
      <c r="G62" s="87"/>
      <c r="H62" s="87" t="s">
        <v>108</v>
      </c>
      <c r="I62" s="88"/>
      <c r="J62" s="87"/>
      <c r="K62" s="64" t="s">
        <v>80</v>
      </c>
      <c r="L62" s="89" t="s">
        <v>72</v>
      </c>
    </row>
    <row r="63" spans="2:13" s="64" customFormat="1" ht="48" thickBot="1" x14ac:dyDescent="0.3">
      <c r="B63" s="62" t="s">
        <v>109</v>
      </c>
      <c r="C63" s="67"/>
      <c r="F63" s="52"/>
      <c r="G63" s="90"/>
      <c r="H63" s="31" t="s">
        <v>109</v>
      </c>
      <c r="I63" s="91"/>
      <c r="J63" s="90"/>
      <c r="K63" s="64" t="s">
        <v>80</v>
      </c>
      <c r="L63" s="89" t="s">
        <v>72</v>
      </c>
    </row>
    <row r="64" spans="2:13" ht="16.5" thickBot="1" x14ac:dyDescent="0.3">
      <c r="C64" s="49"/>
      <c r="F64" s="49"/>
      <c r="I64" s="37"/>
    </row>
    <row r="65" spans="2:13" ht="16.5" thickBot="1" x14ac:dyDescent="0.3">
      <c r="B65" s="75" t="s">
        <v>134</v>
      </c>
      <c r="C65" s="74"/>
    </row>
    <row r="66" spans="2:13" x14ac:dyDescent="0.25">
      <c r="B66" s="61" t="s">
        <v>136</v>
      </c>
      <c r="C66" s="69">
        <f>+C57-C67</f>
        <v>58</v>
      </c>
      <c r="F66" s="24" t="s">
        <v>110</v>
      </c>
      <c r="G66" s="44" t="s">
        <v>111</v>
      </c>
      <c r="H66" s="26" t="s">
        <v>112</v>
      </c>
      <c r="I66" s="53">
        <f>I57-I67</f>
        <v>10</v>
      </c>
      <c r="J66" s="39"/>
      <c r="K66" s="12" t="s">
        <v>73</v>
      </c>
      <c r="L66" s="85" t="s">
        <v>72</v>
      </c>
    </row>
    <row r="67" spans="2:13" ht="16.5" thickBot="1" x14ac:dyDescent="0.3">
      <c r="B67" s="62" t="s">
        <v>135</v>
      </c>
      <c r="C67" s="67">
        <v>2</v>
      </c>
      <c r="F67" s="52"/>
      <c r="G67" s="21"/>
      <c r="H67" s="21" t="s">
        <v>113</v>
      </c>
      <c r="I67" s="22">
        <v>91</v>
      </c>
      <c r="J67" s="21"/>
      <c r="K67" s="12" t="s">
        <v>114</v>
      </c>
      <c r="L67" s="85" t="s">
        <v>72</v>
      </c>
    </row>
    <row r="68" spans="2:13" ht="16.5" thickBot="1" x14ac:dyDescent="0.3">
      <c r="C68" s="49"/>
      <c r="F68" s="49"/>
      <c r="I68" s="37"/>
    </row>
    <row r="69" spans="2:13" ht="16.5" thickBot="1" x14ac:dyDescent="0.3">
      <c r="B69" s="75" t="s">
        <v>137</v>
      </c>
      <c r="C69" s="74"/>
      <c r="F69" s="49"/>
      <c r="I69" s="37"/>
    </row>
    <row r="70" spans="2:13" x14ac:dyDescent="0.25">
      <c r="B70" s="79" t="s">
        <v>140</v>
      </c>
      <c r="C70" s="107">
        <v>2</v>
      </c>
      <c r="F70" s="24" t="s">
        <v>115</v>
      </c>
      <c r="G70" s="50" t="s">
        <v>116</v>
      </c>
      <c r="H70" s="39"/>
      <c r="I70" s="40">
        <v>7</v>
      </c>
      <c r="J70" s="39"/>
      <c r="K70" s="12" t="s">
        <v>117</v>
      </c>
      <c r="L70" s="85" t="s">
        <v>72</v>
      </c>
      <c r="M70" s="12" t="s">
        <v>171</v>
      </c>
    </row>
    <row r="71" spans="2:13" x14ac:dyDescent="0.25">
      <c r="B71" s="57" t="s">
        <v>138</v>
      </c>
      <c r="C71" s="65"/>
      <c r="F71" s="19"/>
      <c r="G71" s="19" t="s">
        <v>118</v>
      </c>
      <c r="H71" s="19"/>
      <c r="I71" s="20">
        <v>0</v>
      </c>
      <c r="J71" s="19"/>
      <c r="K71" s="64" t="s">
        <v>80</v>
      </c>
      <c r="L71" s="85" t="s">
        <v>72</v>
      </c>
    </row>
    <row r="72" spans="2:13" ht="16.5" thickBot="1" x14ac:dyDescent="0.3">
      <c r="B72" s="62" t="s">
        <v>119</v>
      </c>
      <c r="C72" s="80">
        <f>+C71/C70</f>
        <v>0</v>
      </c>
      <c r="F72" s="21"/>
      <c r="G72" s="21" t="s">
        <v>119</v>
      </c>
      <c r="H72" s="21"/>
      <c r="I72" s="54">
        <f>+I71*100/I70</f>
        <v>0</v>
      </c>
      <c r="J72" s="21"/>
      <c r="K72" s="12" t="s">
        <v>73</v>
      </c>
      <c r="L72" s="85" t="s">
        <v>72</v>
      </c>
    </row>
    <row r="75" spans="2:13" x14ac:dyDescent="0.25">
      <c r="B75" s="96"/>
      <c r="C75" s="96"/>
      <c r="E75" s="97"/>
      <c r="F75" s="120"/>
      <c r="G75" s="120"/>
      <c r="I75" s="121"/>
      <c r="J75" s="121"/>
    </row>
    <row r="76" spans="2:13" x14ac:dyDescent="0.25">
      <c r="B76" s="56" t="s">
        <v>120</v>
      </c>
      <c r="C76" s="56"/>
      <c r="E76" s="56" t="s">
        <v>121</v>
      </c>
      <c r="F76" s="117" t="s">
        <v>120</v>
      </c>
      <c r="G76" s="117"/>
      <c r="I76" s="117" t="s">
        <v>121</v>
      </c>
      <c r="J76" s="117"/>
    </row>
  </sheetData>
  <mergeCells count="6">
    <mergeCell ref="F76:G76"/>
    <mergeCell ref="I76:J76"/>
    <mergeCell ref="F1:I1"/>
    <mergeCell ref="F2:I2"/>
    <mergeCell ref="F75:G75"/>
    <mergeCell ref="I75:J75"/>
  </mergeCells>
  <pageMargins left="0.23622047244094491" right="0.23622047244094491" top="0.74803149606299213" bottom="0.74803149606299213" header="0.31496062992125984" footer="0.31496062992125984"/>
  <pageSetup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8BF00-328B-48E9-A974-18FD97179D1E}">
  <sheetPr codeName="Sheet2"/>
  <dimension ref="A1:O63"/>
  <sheetViews>
    <sheetView workbookViewId="0"/>
  </sheetViews>
  <sheetFormatPr defaultRowHeight="15" x14ac:dyDescent="0.25"/>
  <cols>
    <col min="1" max="1" width="6.85546875" style="3" customWidth="1"/>
    <col min="2" max="2" width="21" style="3" customWidth="1"/>
    <col min="3" max="3" width="15" style="3" bestFit="1" customWidth="1"/>
    <col min="4" max="4" width="34.28515625" style="3" bestFit="1" customWidth="1"/>
    <col min="5" max="6" width="9.140625" style="3"/>
    <col min="7" max="7" width="11" style="3" bestFit="1" customWidth="1"/>
    <col min="8" max="16384" width="9.140625" style="3"/>
  </cols>
  <sheetData>
    <row r="1" spans="1:15" s="8" customFormat="1" x14ac:dyDescent="0.25">
      <c r="A1" s="104" t="s">
        <v>0</v>
      </c>
      <c r="B1" s="104" t="s">
        <v>56</v>
      </c>
      <c r="C1" s="7" t="s">
        <v>29</v>
      </c>
      <c r="D1" s="9" t="s">
        <v>155</v>
      </c>
    </row>
    <row r="2" spans="1:15" x14ac:dyDescent="0.25">
      <c r="A2" s="3">
        <v>101</v>
      </c>
      <c r="B2" s="92" t="s">
        <v>3</v>
      </c>
      <c r="C2" s="3" t="s">
        <v>3</v>
      </c>
      <c r="D2" s="3" t="s">
        <v>7</v>
      </c>
      <c r="O2" s="6"/>
    </row>
    <row r="3" spans="1:15" x14ac:dyDescent="0.25">
      <c r="A3" s="3">
        <v>102</v>
      </c>
      <c r="B3" s="92" t="s">
        <v>3</v>
      </c>
      <c r="C3" s="3" t="s">
        <v>6</v>
      </c>
      <c r="D3" s="3" t="s">
        <v>150</v>
      </c>
      <c r="K3" s="6"/>
    </row>
    <row r="4" spans="1:15" x14ac:dyDescent="0.25">
      <c r="A4" s="3">
        <v>103</v>
      </c>
      <c r="B4" s="92" t="s">
        <v>3</v>
      </c>
      <c r="C4" s="3" t="s">
        <v>4</v>
      </c>
      <c r="D4" s="3" t="s">
        <v>151</v>
      </c>
      <c r="K4" s="6"/>
    </row>
    <row r="5" spans="1:15" x14ac:dyDescent="0.25">
      <c r="A5" s="3">
        <v>104</v>
      </c>
      <c r="B5" s="92" t="s">
        <v>3</v>
      </c>
      <c r="C5" s="3" t="s">
        <v>149</v>
      </c>
      <c r="D5" s="3" t="s">
        <v>152</v>
      </c>
      <c r="K5" s="6"/>
    </row>
    <row r="6" spans="1:15" x14ac:dyDescent="0.25">
      <c r="A6" s="3">
        <v>105</v>
      </c>
      <c r="B6" s="92" t="s">
        <v>3</v>
      </c>
      <c r="C6" s="3" t="s">
        <v>60</v>
      </c>
      <c r="D6" s="3" t="s">
        <v>153</v>
      </c>
      <c r="K6" s="6"/>
    </row>
    <row r="7" spans="1:15" x14ac:dyDescent="0.25">
      <c r="A7" s="3">
        <v>106</v>
      </c>
      <c r="B7" s="92" t="s">
        <v>3</v>
      </c>
      <c r="C7" s="103" t="s">
        <v>5</v>
      </c>
      <c r="D7" s="3" t="s">
        <v>2</v>
      </c>
      <c r="K7" s="6"/>
    </row>
    <row r="8" spans="1:15" x14ac:dyDescent="0.25">
      <c r="A8" s="3">
        <v>107</v>
      </c>
      <c r="B8" s="92" t="s">
        <v>3</v>
      </c>
      <c r="D8" s="3" t="s">
        <v>8</v>
      </c>
      <c r="K8" s="6"/>
    </row>
    <row r="9" spans="1:15" x14ac:dyDescent="0.25">
      <c r="A9" s="3">
        <v>108</v>
      </c>
      <c r="B9" s="92" t="s">
        <v>3</v>
      </c>
      <c r="D9" s="3" t="s">
        <v>9</v>
      </c>
      <c r="K9" s="6"/>
    </row>
    <row r="10" spans="1:15" x14ac:dyDescent="0.25">
      <c r="A10" s="3">
        <v>109</v>
      </c>
      <c r="B10" s="92" t="s">
        <v>3</v>
      </c>
      <c r="D10" s="3" t="s">
        <v>10</v>
      </c>
      <c r="K10" s="6"/>
    </row>
    <row r="11" spans="1:15" x14ac:dyDescent="0.25">
      <c r="A11" s="3">
        <v>110</v>
      </c>
      <c r="B11" s="92" t="s">
        <v>3</v>
      </c>
      <c r="D11" s="3" t="s">
        <v>11</v>
      </c>
    </row>
    <row r="12" spans="1:15" x14ac:dyDescent="0.25">
      <c r="A12" s="3">
        <v>111</v>
      </c>
      <c r="B12" s="92" t="s">
        <v>3</v>
      </c>
      <c r="D12" s="3" t="s">
        <v>12</v>
      </c>
    </row>
    <row r="13" spans="1:15" x14ac:dyDescent="0.25">
      <c r="A13" s="3">
        <v>112</v>
      </c>
      <c r="B13" s="92" t="s">
        <v>3</v>
      </c>
      <c r="D13" s="3" t="s">
        <v>13</v>
      </c>
    </row>
    <row r="14" spans="1:15" x14ac:dyDescent="0.25">
      <c r="A14" s="3">
        <v>113</v>
      </c>
      <c r="B14" s="92" t="s">
        <v>3</v>
      </c>
      <c r="D14" s="3" t="s">
        <v>55</v>
      </c>
    </row>
    <row r="15" spans="1:15" x14ac:dyDescent="0.25">
      <c r="A15" s="3">
        <v>114</v>
      </c>
      <c r="B15" s="92" t="s">
        <v>3</v>
      </c>
      <c r="D15" s="3" t="s">
        <v>154</v>
      </c>
    </row>
    <row r="16" spans="1:15" x14ac:dyDescent="0.25">
      <c r="A16" s="3">
        <v>115</v>
      </c>
      <c r="B16" s="92" t="s">
        <v>3</v>
      </c>
      <c r="D16" s="3" t="s">
        <v>15</v>
      </c>
    </row>
    <row r="17" spans="1:4" x14ac:dyDescent="0.25">
      <c r="A17" s="3">
        <v>116</v>
      </c>
      <c r="B17" s="92" t="s">
        <v>3</v>
      </c>
      <c r="D17" s="3" t="s">
        <v>16</v>
      </c>
    </row>
    <row r="18" spans="1:4" x14ac:dyDescent="0.25">
      <c r="A18" s="3">
        <v>117</v>
      </c>
      <c r="B18" s="92" t="s">
        <v>3</v>
      </c>
      <c r="D18" s="3" t="s">
        <v>17</v>
      </c>
    </row>
    <row r="19" spans="1:4" x14ac:dyDescent="0.25">
      <c r="A19" s="3">
        <v>118</v>
      </c>
      <c r="B19" s="92" t="s">
        <v>3</v>
      </c>
      <c r="D19" s="3" t="s">
        <v>18</v>
      </c>
    </row>
    <row r="20" spans="1:4" x14ac:dyDescent="0.25">
      <c r="A20" s="3">
        <v>119</v>
      </c>
      <c r="B20" s="92" t="s">
        <v>3</v>
      </c>
      <c r="D20" s="3" t="s">
        <v>19</v>
      </c>
    </row>
    <row r="21" spans="1:4" ht="15" customHeight="1" x14ac:dyDescent="0.25">
      <c r="A21" s="3">
        <v>120</v>
      </c>
      <c r="B21" s="92" t="s">
        <v>3</v>
      </c>
      <c r="D21" s="3" t="s">
        <v>20</v>
      </c>
    </row>
    <row r="22" spans="1:4" x14ac:dyDescent="0.25">
      <c r="A22" s="3">
        <v>121</v>
      </c>
      <c r="B22" s="92" t="s">
        <v>3</v>
      </c>
      <c r="D22" s="3" t="s">
        <v>21</v>
      </c>
    </row>
    <row r="23" spans="1:4" x14ac:dyDescent="0.25">
      <c r="A23" s="3">
        <v>122</v>
      </c>
      <c r="B23" s="92" t="s">
        <v>3</v>
      </c>
      <c r="D23" s="3" t="s">
        <v>22</v>
      </c>
    </row>
    <row r="24" spans="1:4" x14ac:dyDescent="0.25">
      <c r="A24" s="3">
        <v>123</v>
      </c>
      <c r="B24" s="92" t="s">
        <v>6</v>
      </c>
      <c r="D24" s="3" t="s">
        <v>23</v>
      </c>
    </row>
    <row r="25" spans="1:4" x14ac:dyDescent="0.25">
      <c r="A25" s="3">
        <v>124</v>
      </c>
      <c r="B25" s="92" t="s">
        <v>6</v>
      </c>
      <c r="D25" s="3" t="s">
        <v>24</v>
      </c>
    </row>
    <row r="26" spans="1:4" x14ac:dyDescent="0.25">
      <c r="A26" s="3">
        <v>125</v>
      </c>
      <c r="B26" s="92" t="s">
        <v>6</v>
      </c>
      <c r="D26" s="3" t="s">
        <v>25</v>
      </c>
    </row>
    <row r="27" spans="1:4" x14ac:dyDescent="0.25">
      <c r="A27" s="3">
        <v>126</v>
      </c>
      <c r="B27" s="92" t="s">
        <v>6</v>
      </c>
    </row>
    <row r="28" spans="1:4" x14ac:dyDescent="0.25">
      <c r="A28" s="3">
        <v>127</v>
      </c>
      <c r="B28" s="92" t="s">
        <v>6</v>
      </c>
    </row>
    <row r="29" spans="1:4" x14ac:dyDescent="0.25">
      <c r="A29" s="3">
        <v>128</v>
      </c>
      <c r="B29" s="92" t="s">
        <v>6</v>
      </c>
    </row>
    <row r="30" spans="1:4" x14ac:dyDescent="0.25">
      <c r="A30" s="3">
        <v>129</v>
      </c>
      <c r="B30" s="92" t="s">
        <v>6</v>
      </c>
    </row>
    <row r="31" spans="1:4" x14ac:dyDescent="0.25">
      <c r="A31" s="3">
        <v>130</v>
      </c>
      <c r="B31" s="92" t="s">
        <v>6</v>
      </c>
    </row>
    <row r="32" spans="1:4" x14ac:dyDescent="0.25">
      <c r="A32" s="3">
        <v>131</v>
      </c>
      <c r="B32" s="92" t="s">
        <v>6</v>
      </c>
    </row>
    <row r="33" spans="1:2" x14ac:dyDescent="0.25">
      <c r="A33" s="3">
        <v>132</v>
      </c>
      <c r="B33" s="92" t="s">
        <v>6</v>
      </c>
    </row>
    <row r="34" spans="1:2" x14ac:dyDescent="0.25">
      <c r="A34" s="3">
        <v>133</v>
      </c>
      <c r="B34" s="92" t="s">
        <v>6</v>
      </c>
    </row>
    <row r="35" spans="1:2" x14ac:dyDescent="0.25">
      <c r="A35" s="3">
        <v>134</v>
      </c>
      <c r="B35" s="92" t="s">
        <v>6</v>
      </c>
    </row>
    <row r="36" spans="1:2" x14ac:dyDescent="0.25">
      <c r="A36" s="3">
        <v>135</v>
      </c>
      <c r="B36" s="92" t="s">
        <v>6</v>
      </c>
    </row>
    <row r="37" spans="1:2" x14ac:dyDescent="0.25">
      <c r="A37" s="3">
        <v>136</v>
      </c>
      <c r="B37" s="92" t="s">
        <v>6</v>
      </c>
    </row>
    <row r="38" spans="1:2" x14ac:dyDescent="0.25">
      <c r="A38" s="3">
        <v>137</v>
      </c>
      <c r="B38" s="92" t="s">
        <v>6</v>
      </c>
    </row>
    <row r="39" spans="1:2" x14ac:dyDescent="0.25">
      <c r="A39" s="3">
        <v>138</v>
      </c>
      <c r="B39" s="92" t="s">
        <v>6</v>
      </c>
    </row>
    <row r="40" spans="1:2" x14ac:dyDescent="0.25">
      <c r="A40" s="3">
        <v>209</v>
      </c>
      <c r="B40" s="92" t="s">
        <v>4</v>
      </c>
    </row>
    <row r="41" spans="1:2" x14ac:dyDescent="0.25">
      <c r="A41" s="3">
        <v>210</v>
      </c>
      <c r="B41" s="92" t="s">
        <v>4</v>
      </c>
    </row>
    <row r="42" spans="1:2" x14ac:dyDescent="0.25">
      <c r="A42" s="3">
        <v>211</v>
      </c>
      <c r="B42" s="92" t="s">
        <v>4</v>
      </c>
    </row>
    <row r="43" spans="1:2" x14ac:dyDescent="0.25">
      <c r="A43" s="3">
        <v>212</v>
      </c>
      <c r="B43" s="92" t="s">
        <v>4</v>
      </c>
    </row>
    <row r="44" spans="1:2" x14ac:dyDescent="0.25">
      <c r="A44" s="3">
        <v>213</v>
      </c>
      <c r="B44" s="92" t="s">
        <v>4</v>
      </c>
    </row>
    <row r="45" spans="1:2" x14ac:dyDescent="0.25">
      <c r="A45" s="3">
        <v>214</v>
      </c>
      <c r="B45" s="92" t="s">
        <v>4</v>
      </c>
    </row>
    <row r="46" spans="1:2" x14ac:dyDescent="0.25">
      <c r="A46" s="3">
        <v>215</v>
      </c>
      <c r="B46" s="92" t="s">
        <v>4</v>
      </c>
    </row>
    <row r="47" spans="1:2" x14ac:dyDescent="0.25">
      <c r="A47" s="3">
        <v>216</v>
      </c>
      <c r="B47" s="92" t="s">
        <v>4</v>
      </c>
    </row>
    <row r="48" spans="1:2" x14ac:dyDescent="0.25">
      <c r="A48" s="3">
        <v>217</v>
      </c>
      <c r="B48" s="92" t="s">
        <v>4</v>
      </c>
    </row>
    <row r="49" spans="1:2" x14ac:dyDescent="0.25">
      <c r="A49" s="3">
        <v>218</v>
      </c>
      <c r="B49" s="92" t="s">
        <v>4</v>
      </c>
    </row>
    <row r="50" spans="1:2" x14ac:dyDescent="0.25">
      <c r="A50" s="3">
        <v>219</v>
      </c>
      <c r="B50" s="92" t="s">
        <v>4</v>
      </c>
    </row>
    <row r="51" spans="1:2" x14ac:dyDescent="0.25">
      <c r="A51" s="3">
        <v>220</v>
      </c>
      <c r="B51" s="92" t="s">
        <v>4</v>
      </c>
    </row>
    <row r="52" spans="1:2" x14ac:dyDescent="0.25">
      <c r="A52" s="3">
        <v>221</v>
      </c>
      <c r="B52" s="92" t="s">
        <v>4</v>
      </c>
    </row>
    <row r="53" spans="1:2" x14ac:dyDescent="0.25">
      <c r="A53" s="3">
        <v>222</v>
      </c>
      <c r="B53" s="92" t="s">
        <v>4</v>
      </c>
    </row>
    <row r="54" spans="1:2" x14ac:dyDescent="0.25">
      <c r="A54" s="3">
        <v>223</v>
      </c>
      <c r="B54" s="92" t="s">
        <v>4</v>
      </c>
    </row>
    <row r="55" spans="1:2" x14ac:dyDescent="0.25">
      <c r="A55" s="3">
        <v>224</v>
      </c>
      <c r="B55" s="92" t="s">
        <v>4</v>
      </c>
    </row>
    <row r="56" spans="1:2" x14ac:dyDescent="0.25">
      <c r="A56" s="3">
        <v>225</v>
      </c>
      <c r="B56" s="92" t="s">
        <v>4</v>
      </c>
    </row>
    <row r="57" spans="1:2" x14ac:dyDescent="0.25">
      <c r="A57" s="3">
        <v>226</v>
      </c>
      <c r="B57" s="92" t="s">
        <v>4</v>
      </c>
    </row>
    <row r="58" spans="1:2" x14ac:dyDescent="0.25">
      <c r="A58" s="3">
        <v>227</v>
      </c>
      <c r="B58" s="92" t="s">
        <v>4</v>
      </c>
    </row>
    <row r="59" spans="1:2" x14ac:dyDescent="0.25">
      <c r="A59" s="3">
        <v>228</v>
      </c>
      <c r="B59" s="92" t="s">
        <v>4</v>
      </c>
    </row>
    <row r="60" spans="1:2" x14ac:dyDescent="0.25">
      <c r="A60" s="3">
        <v>229</v>
      </c>
      <c r="B60" s="92" t="s">
        <v>4</v>
      </c>
    </row>
    <row r="61" spans="1:2" x14ac:dyDescent="0.25">
      <c r="A61" s="3">
        <v>230</v>
      </c>
      <c r="B61" s="92" t="s">
        <v>4</v>
      </c>
    </row>
    <row r="62" spans="1:2" x14ac:dyDescent="0.25">
      <c r="A62" s="3">
        <v>231</v>
      </c>
      <c r="B62" s="92" t="s">
        <v>4</v>
      </c>
    </row>
    <row r="63" spans="1:2" x14ac:dyDescent="0.25">
      <c r="A63" s="3">
        <v>232</v>
      </c>
      <c r="B63" s="92" t="s">
        <v>4</v>
      </c>
    </row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D840-5612-4E66-A00A-671C1F147C49}">
  <sheetPr codeName="Sheet4"/>
  <dimension ref="A1:B14"/>
  <sheetViews>
    <sheetView workbookViewId="0">
      <selection activeCell="A16" sqref="A16"/>
    </sheetView>
  </sheetViews>
  <sheetFormatPr defaultRowHeight="15" x14ac:dyDescent="0.25"/>
  <sheetData>
    <row r="1" spans="1:2" x14ac:dyDescent="0.25">
      <c r="A1" t="s">
        <v>57</v>
      </c>
    </row>
    <row r="2" spans="1:2" x14ac:dyDescent="0.25">
      <c r="B2" s="10" t="s">
        <v>58</v>
      </c>
    </row>
    <row r="3" spans="1:2" x14ac:dyDescent="0.25">
      <c r="B3" s="10" t="s">
        <v>4</v>
      </c>
    </row>
    <row r="4" spans="1:2" x14ac:dyDescent="0.25">
      <c r="B4" s="10" t="s">
        <v>59</v>
      </c>
    </row>
    <row r="5" spans="1:2" x14ac:dyDescent="0.25">
      <c r="B5" s="10" t="s">
        <v>60</v>
      </c>
    </row>
    <row r="6" spans="1:2" x14ac:dyDescent="0.25">
      <c r="B6" s="10" t="s">
        <v>61</v>
      </c>
    </row>
    <row r="7" spans="1:2" ht="15.75" thickBot="1" x14ac:dyDescent="0.3">
      <c r="B7" s="11" t="s">
        <v>62</v>
      </c>
    </row>
    <row r="8" spans="1:2" x14ac:dyDescent="0.25">
      <c r="A8" t="s">
        <v>64</v>
      </c>
    </row>
    <row r="9" spans="1:2" x14ac:dyDescent="0.25">
      <c r="A9" t="s">
        <v>63</v>
      </c>
    </row>
    <row r="10" spans="1:2" x14ac:dyDescent="0.25">
      <c r="A10" t="s">
        <v>65</v>
      </c>
    </row>
    <row r="11" spans="1:2" x14ac:dyDescent="0.25">
      <c r="A11" t="s">
        <v>66</v>
      </c>
    </row>
    <row r="13" spans="1:2" x14ac:dyDescent="0.25">
      <c r="A13" t="s">
        <v>145</v>
      </c>
    </row>
    <row r="14" spans="1:2" x14ac:dyDescent="0.25">
      <c r="A14" t="s">
        <v>146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41FE1C5-A588-4A83-8DD4-6DC2FDC506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pLanilla</vt:lpstr>
      <vt:lpstr>cOnteo</vt:lpstr>
      <vt:lpstr>referencias</vt:lpstr>
      <vt:lpstr>preguntas</vt:lpstr>
      <vt:lpstr>alta</vt:lpstr>
      <vt:lpstr>areaClinica</vt:lpstr>
      <vt:lpstr>cama</vt:lpstr>
      <vt:lpstr>descripcion</vt:lpstr>
      <vt:lpstr>dxAdmision</vt:lpstr>
      <vt:lpstr>edad</vt:lpstr>
      <vt:lpstr>fecAdmision</vt:lpstr>
      <vt:lpstr>fecAlta</vt:lpstr>
      <vt:lpstr>medico</vt:lpstr>
      <vt:lpstr>nombres</vt:lpstr>
      <vt:lpstr>problema1</vt:lpstr>
      <vt:lpstr>problema2</vt:lpstr>
      <vt:lpstr>problema3</vt:lpstr>
      <vt:lpstr>record</vt:lpstr>
      <vt:lpstr>refAreaClinica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 javimac .</dc:creator>
  <cp:lastModifiedBy>. javimac .</cp:lastModifiedBy>
  <cp:lastPrinted>2021-11-13T22:16:20Z</cp:lastPrinted>
  <dcterms:created xsi:type="dcterms:W3CDTF">2021-10-24T18:58:58Z</dcterms:created>
  <dcterms:modified xsi:type="dcterms:W3CDTF">2021-12-06T04:30:33Z</dcterms:modified>
</cp:coreProperties>
</file>